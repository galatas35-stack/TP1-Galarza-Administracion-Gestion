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C_Mensual" sheetId="1" state="visible" r:id="rId3"/>
    <sheet name="SMVM_Real" sheetId="2" state="visible" r:id="rId4"/>
    <sheet name="Resumen_Anual" sheetId="3" state="visible" r:id="rId5"/>
    <sheet name="Fuentes y no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<sst xmlns="http://schemas.openxmlformats.org/spreadsheetml/2006/main" count="115" uniqueCount="46">
  <si>
    <t xml:space="preserve">Inflación mensual (IPC Nacional, INDEC) – Argentina, enero 2021 a agosto 2026</t>
  </si>
  <si>
    <t xml:space="preserve">Celdas en azul = variación mensual cargada desde la fuente; en negro = fórmulas. Índice base: dic-2020 = 100.</t>
  </si>
  <si>
    <t xml:space="preserve">Fecha</t>
  </si>
  <si>
    <t xml:space="preserve">Año</t>
  </si>
  <si>
    <t xml:space="preserve">Mes</t>
  </si>
  <si>
    <t xml:space="preserve">IPC variación mensual</t>
  </si>
  <si>
    <t xml:space="preserve">Índice acumulado (dic-2020=100)</t>
  </si>
  <si>
    <t xml:space="preserve">Variación acumulada vs. dic-2020</t>
  </si>
  <si>
    <t xml:space="preserve">Variación interanual</t>
  </si>
  <si>
    <t xml:space="preserve">dic-2020</t>
  </si>
  <si>
    <t xml:space="preserve">ene</t>
  </si>
  <si>
    <t xml:space="preserve">n/d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</si>
  <si>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</si>
  <si>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</si>
  <si>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</si>
  <si>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</si>
  <si>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</si>
  <si>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</si>
  <si>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</si>
  <si>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</si>
  <si>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</si>
  <si>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</si>
  <si>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</si>
  <si>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Fuente: INDEC vía Estudio Contable del Amo (inflación al 10/09/2026) y FACPCE. La variación interanual de 2021 requiere dic-2020 en adelante: n/d hasta 12 meses de historia.</t>
  </si>
  <si>
    <t xml:space="preserve">SMVM en términos reales (deflactado por IPC) – ene-2021 a ago-2026</t>
  </si>
  <si>
    <t xml:space="preserve">Azul = SMVM copiado del Excel 1 (Excel1_SMVM_2021-2026.xlsx). Verde = vínculo a otra hoja. Negro = fórmulas.</t>
  </si>
  <si>
    <t xml:space="preserve">SMVM nominal ($)</t>
  </si>
  <si>
    <t xml:space="preserve">Índice IPC (dic-2020=100)</t>
  </si>
  <si>
    <t xml:space="preserve">SMVM real ($ de dic-2020)</t>
  </si>
  <si>
    <t xml:space="preserve">Índice SMVM real (ene-2021=100)</t>
  </si>
  <si>
    <t xml:space="preserve">Variación real vs. ene-2021</t>
  </si>
  <si>
    <t xml:space="preserve">Resumen anual: inflación vs. SMVM</t>
  </si>
  <si>
    <t xml:space="preserve">Inflación anual (dic/dic)</t>
  </si>
  <si>
    <t xml:space="preserve">SMVM real promedio ($ dic-2020)</t>
  </si>
  <si>
    <t xml:space="preserve">Variación SMVM real prom. vs. año anterior</t>
  </si>
  <si>
    <t xml:space="preserve">Nota: 2026 = enero a agosto (inflación acumulada ene-ago 2026, promedio de 8 meses).</t>
  </si>
  <si>
    <t xml:space="preserve">Fuentes y notas</t>
  </si>
  <si>
    <t xml:space="preserve">FUENTES</t>
  </si>
  <si>
    <t xml:space="preserve">1) INDEC – Índice de Precios al Consumidor (IPC) Nacional, vía Estudio Contable del Amo: https://estudiodelamo.com/inflacion-argentina-anual-mensual/ (consultado 27/09/2026; página modificada 10/09/2026).</t>
  </si>
  <si>
    <t xml:space="preserve">2) FACPCE – Índices: https://www.facpce.org.ar/indices-facpce/</t>
  </si>
  <si>
    <t xml:space="preserve">3) SMVM: ver Excel 1 (Excel1_SMVM_2021-2026.xlsx) y su hoja 'Fuentes y notas'.</t>
  </si>
  <si>
    <t xml:space="preserve">NOTAS METODOLÓGICAS</t>
  </si>
  <si>
    <t xml:space="preserve">• El índice acumulado se construye encadenando las variaciones mensuales (base dic-2020 = 100). Las variaciones anuales calculadas coinciden con las publicadas por la fuente con diferencias de centésimas por redondeo.</t>
  </si>
  <si>
    <t xml:space="preserve">• SMVM real = SMVM nominal dividido el índice IPC (base dic-2020). Se expresa en pesos de dic-2020.</t>
  </si>
  <si>
    <t xml:space="preserve">• Las cifras de inflación de 2026 son las publicadas por la fuente hasta agosto 2026; septiembre 2026 aún no está disponible.</t>
  </si>
  <si>
    <t xml:space="preserve">• Verificar las cifras contra INDEC antes de citarlas en el trabajo final.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</si>
</sst>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mmm\-yyyy"/>
    <numFmt numFmtId="167" formatCode="0"/>
    <numFmt numFmtId="168" formatCode="0.00%"/>
    <numFmt numFmtId="169" formatCode="0.0%"/>
    <numFmt numFmtId="170" formatCode="#,##0.00"/>
    <numFmt numFmtId="171" formatCode="#,##0"/>
    <numFmt numFmtId="172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/>
      <c r="C5" s="5"/>
      <c r="D5" s="5"/>
      <c r="E5" s="6" t="n">
        <v>100</v>
      </c>
      <c r="F5" s="5"/>
      <c r="G5" s="5"/>
    </row>
    <row r="6" customFormat="false" ht="15" hidden="false" customHeight="false" outlineLevel="0" collapsed="false">
      <c r="A6" s="7" t="n">
        <v>44197</v>
      </c>
      <c r="B6" s="8" t="n">
        <f aca="false">YEAR(A6)</f>
        <v>2021</v>
      </c>
      <c r="C6" s="4" t="s">
        <v>10</v>
      </c>
      <c r="D6" s="9" t="n">
        <v>0.0404</v>
      </c>
      <c r="E6" s="10" t="n">
        <f aca="false">E5*(1+D6)</f>
        <v>104.04</v>
      </c>
      <c r="F6" s="11" t="n">
        <f aca="false">E6/$E$5-1</f>
        <v>0.0404</v>
      </c>
      <c r="G6" s="4" t="s">
        <v>11</v>
      </c>
    </row>
    <row r="7" customFormat="false" ht="15" hidden="false" customHeight="false" outlineLevel="0" collapsed="false">
      <c r="A7" s="7" t="n">
        <v>44228</v>
      </c>
      <c r="B7" s="8" t="n">
        <f aca="false">YEAR(A7)</f>
        <v>2021</v>
      </c>
      <c r="C7" s="4" t="s">
        <v>12</v>
      </c>
      <c r="D7" s="9" t="n">
        <v>0.0357</v>
      </c>
      <c r="E7" s="10" t="n">
        <f aca="false">E6*(1+D7)</f>
        <v>107.754228</v>
      </c>
      <c r="F7" s="11" t="n">
        <f aca="false">E7/$E$5-1</f>
        <v>0.0775422800000001</v>
      </c>
      <c r="G7" s="4" t="s">
        <v>11</v>
      </c>
    </row>
    <row r="8" customFormat="false" ht="15" hidden="false" customHeight="false" outlineLevel="0" collapsed="false">
      <c r="A8" s="7" t="n">
        <v>44256</v>
      </c>
      <c r="B8" s="8" t="n">
        <f aca="false">YEAR(A8)</f>
        <v>2021</v>
      </c>
      <c r="C8" s="4" t="s">
        <v>13</v>
      </c>
      <c r="D8" s="9" t="n">
        <v>0.0481</v>
      </c>
      <c r="E8" s="10" t="n">
        <f aca="false">E7*(1+D8)</f>
        <v>112.9372063668</v>
      </c>
      <c r="F8" s="11" t="n">
        <f aca="false">E8/$E$5-1</f>
        <v>0.129372063668</v>
      </c>
      <c r="G8" s="4" t="s">
        <v>11</v>
      </c>
    </row>
    <row r="9" customFormat="false" ht="15" hidden="false" customHeight="false" outlineLevel="0" collapsed="false">
      <c r="A9" s="7" t="n">
        <v>44287</v>
      </c>
      <c r="B9" s="8" t="n">
        <f aca="false">YEAR(A9)</f>
        <v>2021</v>
      </c>
      <c r="C9" s="4" t="s">
        <v>14</v>
      </c>
      <c r="D9" s="9" t="n">
        <v>0.0408</v>
      </c>
      <c r="E9" s="10" t="n">
        <f aca="false">E8*(1+D9)</f>
        <v>117.545044386565</v>
      </c>
      <c r="F9" s="11" t="n">
        <f aca="false">E9/$E$5-1</f>
        <v>0.175450443865654</v>
      </c>
      <c r="G9" s="4" t="s">
        <v>11</v>
      </c>
    </row>
    <row r="10" customFormat="false" ht="15" hidden="false" customHeight="false" outlineLevel="0" collapsed="false">
      <c r="A10" s="7" t="n">
        <v>44317</v>
      </c>
      <c r="B10" s="8" t="n">
        <f aca="false">YEAR(A10)</f>
        <v>2021</v>
      </c>
      <c r="C10" s="4" t="s">
        <v>15</v>
      </c>
      <c r="D10" s="9" t="n">
        <v>0.0332</v>
      </c>
      <c r="E10" s="10" t="n">
        <f aca="false">E9*(1+D10)</f>
        <v>121.447539860199</v>
      </c>
      <c r="F10" s="11" t="n">
        <f aca="false">E10/$E$5-1</f>
        <v>0.214475398601994</v>
      </c>
      <c r="G10" s="4" t="s">
        <v>11</v>
      </c>
    </row>
    <row r="11" customFormat="false" ht="15" hidden="false" customHeight="false" outlineLevel="0" collapsed="false">
      <c r="A11" s="7" t="n">
        <v>44348</v>
      </c>
      <c r="B11" s="8" t="n">
        <f aca="false">YEAR(A11)</f>
        <v>2021</v>
      </c>
      <c r="C11" s="4" t="s">
        <v>16</v>
      </c>
      <c r="D11" s="9" t="n">
        <v>0.0317</v>
      </c>
      <c r="E11" s="10" t="n">
        <f aca="false">E10*(1+D11)</f>
        <v>125.297426873768</v>
      </c>
      <c r="F11" s="11" t="n">
        <f aca="false">E11/$E$5-1</f>
        <v>0.252974268737677</v>
      </c>
      <c r="G11" s="4" t="s">
        <v>11</v>
      </c>
    </row>
    <row r="12" customFormat="false" ht="15" hidden="false" customHeight="false" outlineLevel="0" collapsed="false">
      <c r="A12" s="7" t="n">
        <v>44378</v>
      </c>
      <c r="B12" s="8" t="n">
        <f aca="false">YEAR(A12)</f>
        <v>2021</v>
      </c>
      <c r="C12" s="4" t="s">
        <v>17</v>
      </c>
      <c r="D12" s="9" t="n">
        <v>0.03</v>
      </c>
      <c r="E12" s="10" t="n">
        <f aca="false">E11*(1+D12)</f>
        <v>129.056349679981</v>
      </c>
      <c r="F12" s="11" t="n">
        <f aca="false">E12/$E$5-1</f>
        <v>0.290563496799808</v>
      </c>
      <c r="G12" s="4" t="s">
        <v>11</v>
      </c>
    </row>
    <row r="13" customFormat="false" ht="15" hidden="false" customHeight="false" outlineLevel="0" collapsed="false">
      <c r="A13" s="7" t="n">
        <v>44409</v>
      </c>
      <c r="B13" s="8" t="n">
        <f aca="false">YEAR(A13)</f>
        <v>2021</v>
      </c>
      <c r="C13" s="4" t="s">
        <v>18</v>
      </c>
      <c r="D13" s="9" t="n">
        <v>0.0247</v>
      </c>
      <c r="E13" s="10" t="n">
        <f aca="false">E12*(1+D13)</f>
        <v>132.244041517076</v>
      </c>
      <c r="F13" s="11" t="n">
        <f aca="false">E13/$E$5-1</f>
        <v>0.322440415170763</v>
      </c>
      <c r="G13" s="4" t="s">
        <v>11</v>
      </c>
    </row>
    <row r="14" customFormat="false" ht="15" hidden="false" customHeight="false" outlineLevel="0" collapsed="false">
      <c r="A14" s="7" t="n">
        <v>44440</v>
      </c>
      <c r="B14" s="8" t="n">
        <f aca="false">YEAR(A14)</f>
        <v>2021</v>
      </c>
      <c r="C14" s="4" t="s">
        <v>19</v>
      </c>
      <c r="D14" s="9" t="n">
        <v>0.0355</v>
      </c>
      <c r="E14" s="10" t="n">
        <f aca="false">E13*(1+D14)</f>
        <v>136.938704990933</v>
      </c>
      <c r="F14" s="11" t="n">
        <f aca="false">E14/$E$5-1</f>
        <v>0.369387049909325</v>
      </c>
      <c r="G14" s="4" t="s">
        <v>11</v>
      </c>
    </row>
    <row r="15" customFormat="false" ht="15" hidden="false" customHeight="false" outlineLevel="0" collapsed="false">
      <c r="A15" s="7" t="n">
        <v>44470</v>
      </c>
      <c r="B15" s="8" t="n">
        <f aca="false">YEAR(A15)</f>
        <v>2021</v>
      </c>
      <c r="C15" s="4" t="s">
        <v>20</v>
      </c>
      <c r="D15" s="9" t="n">
        <v>0.0352</v>
      </c>
      <c r="E15" s="10" t="n">
        <f aca="false">E14*(1+D15)</f>
        <v>141.758947406613</v>
      </c>
      <c r="F15" s="11" t="n">
        <f aca="false">E15/$E$5-1</f>
        <v>0.417589474066133</v>
      </c>
      <c r="G15" s="4" t="s">
        <v>11</v>
      </c>
    </row>
    <row r="16" customFormat="false" ht="15" hidden="false" customHeight="false" outlineLevel="0" collapsed="false">
      <c r="A16" s="7" t="n">
        <v>44501</v>
      </c>
      <c r="B16" s="8" t="n">
        <f aca="false">YEAR(A16)</f>
        <v>2021</v>
      </c>
      <c r="C16" s="4" t="s">
        <v>21</v>
      </c>
      <c r="D16" s="9" t="n">
        <v>0.0253</v>
      </c>
      <c r="E16" s="10" t="n">
        <f aca="false">E15*(1+D16)</f>
        <v>145.345448776001</v>
      </c>
      <c r="F16" s="11" t="n">
        <f aca="false">E16/$E$5-1</f>
        <v>0.453454487760006</v>
      </c>
      <c r="G16" s="4" t="s">
        <v>11</v>
      </c>
    </row>
    <row r="17" customFormat="false" ht="15" hidden="false" customHeight="false" outlineLevel="0" collapsed="false">
      <c r="A17" s="7" t="n">
        <v>44531</v>
      </c>
      <c r="B17" s="8" t="n">
        <f aca="false">YEAR(A17)</f>
        <v>2021</v>
      </c>
      <c r="C17" s="4" t="s">
        <v>22</v>
      </c>
      <c r="D17" s="9" t="n">
        <v>0.0384</v>
      </c>
      <c r="E17" s="10" t="n">
        <f aca="false">E16*(1+D17)</f>
        <v>150.926714008999</v>
      </c>
      <c r="F17" s="11" t="n">
        <f aca="false">E17/$E$5-1</f>
        <v>0.509267140089991</v>
      </c>
      <c r="G17" s="11" t="n">
        <f aca="false">E17/E5-1</f>
        <v>0.509267140089991</v>
      </c>
    </row>
    <row r="18" customFormat="false" ht="15" hidden="false" customHeight="false" outlineLevel="0" collapsed="false">
      <c r="A18" s="7" t="n">
        <v>44562</v>
      </c>
      <c r="B18" s="8" t="n">
        <f aca="false">YEAR(A18)</f>
        <v>2022</v>
      </c>
      <c r="C18" s="4" t="s">
        <v>10</v>
      </c>
      <c r="D18" s="9" t="n">
        <v>0.0388</v>
      </c>
      <c r="E18" s="10" t="n">
        <f aca="false">E17*(1+D18)</f>
        <v>156.782670512548</v>
      </c>
      <c r="F18" s="11" t="n">
        <f aca="false">E18/$E$5-1</f>
        <v>0.567826705125482</v>
      </c>
      <c r="G18" s="11" t="n">
        <f aca="false">E18/E6-1</f>
        <v>0.506946083357826</v>
      </c>
    </row>
    <row r="19" customFormat="false" ht="15" hidden="false" customHeight="false" outlineLevel="0" collapsed="false">
      <c r="A19" s="7" t="n">
        <v>44593</v>
      </c>
      <c r="B19" s="8" t="n">
        <f aca="false">YEAR(A19)</f>
        <v>2022</v>
      </c>
      <c r="C19" s="4" t="s">
        <v>12</v>
      </c>
      <c r="D19" s="9" t="n">
        <v>0.0469</v>
      </c>
      <c r="E19" s="10" t="n">
        <f aca="false">E18*(1+D19)</f>
        <v>164.135777759587</v>
      </c>
      <c r="F19" s="11" t="n">
        <f aca="false">E19/$E$5-1</f>
        <v>0.641357777595867</v>
      </c>
      <c r="G19" s="11" t="n">
        <f aca="false">E19/E7-1</f>
        <v>0.523242111294108</v>
      </c>
    </row>
    <row r="20" customFormat="false" ht="15" hidden="false" customHeight="false" outlineLevel="0" collapsed="false">
      <c r="A20" s="7" t="n">
        <v>44621</v>
      </c>
      <c r="B20" s="8" t="n">
        <f aca="false">YEAR(A20)</f>
        <v>2022</v>
      </c>
      <c r="C20" s="4" t="s">
        <v>13</v>
      </c>
      <c r="D20" s="9" t="n">
        <v>0.0673</v>
      </c>
      <c r="E20" s="10" t="n">
        <f aca="false">E19*(1+D20)</f>
        <v>175.182115602807</v>
      </c>
      <c r="F20" s="11" t="n">
        <f aca="false">E20/$E$5-1</f>
        <v>0.751821156028069</v>
      </c>
      <c r="G20" s="11" t="n">
        <f aca="false">E20/E8-1</f>
        <v>0.551146174395765</v>
      </c>
    </row>
    <row r="21" customFormat="false" ht="15" hidden="false" customHeight="false" outlineLevel="0" collapsed="false">
      <c r="A21" s="7" t="n">
        <v>44652</v>
      </c>
      <c r="B21" s="8" t="n">
        <f aca="false">YEAR(A21)</f>
        <v>2022</v>
      </c>
      <c r="C21" s="4" t="s">
        <v>14</v>
      </c>
      <c r="D21" s="9" t="n">
        <v>0.0605</v>
      </c>
      <c r="E21" s="10" t="n">
        <f aca="false">E20*(1+D21)</f>
        <v>185.780633596777</v>
      </c>
      <c r="F21" s="11" t="n">
        <f aca="false">E21/$E$5-1</f>
        <v>0.857806335967767</v>
      </c>
      <c r="G21" s="11" t="n">
        <f aca="false">E21/E9-1</f>
        <v>0.580505878119436</v>
      </c>
    </row>
    <row r="22" customFormat="false" ht="15" hidden="false" customHeight="false" outlineLevel="0" collapsed="false">
      <c r="A22" s="7" t="n">
        <v>44682</v>
      </c>
      <c r="B22" s="8" t="n">
        <f aca="false">YEAR(A22)</f>
        <v>2022</v>
      </c>
      <c r="C22" s="4" t="s">
        <v>15</v>
      </c>
      <c r="D22" s="9" t="n">
        <v>0.0505</v>
      </c>
      <c r="E22" s="10" t="n">
        <f aca="false">E21*(1+D22)</f>
        <v>195.162555593414</v>
      </c>
      <c r="F22" s="11" t="n">
        <f aca="false">E22/$E$5-1</f>
        <v>0.951625555934139</v>
      </c>
      <c r="G22" s="11" t="n">
        <f aca="false">E22/E10-1</f>
        <v>0.606970020290813</v>
      </c>
    </row>
    <row r="23" customFormat="false" ht="15" hidden="false" customHeight="false" outlineLevel="0" collapsed="false">
      <c r="A23" s="7" t="n">
        <v>44713</v>
      </c>
      <c r="B23" s="8" t="n">
        <f aca="false">YEAR(A23)</f>
        <v>2022</v>
      </c>
      <c r="C23" s="4" t="s">
        <v>16</v>
      </c>
      <c r="D23" s="9" t="n">
        <v>0.053</v>
      </c>
      <c r="E23" s="10" t="n">
        <f aca="false">E22*(1+D23)</f>
        <v>205.506171039865</v>
      </c>
      <c r="F23" s="11" t="n">
        <f aca="false">E23/$E$5-1</f>
        <v>1.05506171039865</v>
      </c>
      <c r="G23" s="11" t="n">
        <f aca="false">E23/E11-1</f>
        <v>0.640146778488151</v>
      </c>
    </row>
    <row r="24" customFormat="false" ht="15" hidden="false" customHeight="false" outlineLevel="0" collapsed="false">
      <c r="A24" s="7" t="n">
        <v>44743</v>
      </c>
      <c r="B24" s="8" t="n">
        <f aca="false">YEAR(A24)</f>
        <v>2022</v>
      </c>
      <c r="C24" s="4" t="s">
        <v>17</v>
      </c>
      <c r="D24" s="9" t="n">
        <v>0.0741</v>
      </c>
      <c r="E24" s="10" t="n">
        <f aca="false">E23*(1+D24)</f>
        <v>220.734178313919</v>
      </c>
      <c r="F24" s="11" t="n">
        <f aca="false">E24/$E$5-1</f>
        <v>1.20734178313919</v>
      </c>
      <c r="G24" s="11" t="n">
        <f aca="false">E24/E12-1</f>
        <v>0.710370538615653</v>
      </c>
    </row>
    <row r="25" customFormat="false" ht="15" hidden="false" customHeight="false" outlineLevel="0" collapsed="false">
      <c r="A25" s="7" t="n">
        <v>44774</v>
      </c>
      <c r="B25" s="8" t="n">
        <f aca="false">YEAR(A25)</f>
        <v>2022</v>
      </c>
      <c r="C25" s="4" t="s">
        <v>18</v>
      </c>
      <c r="D25" s="9" t="n">
        <v>0.0697</v>
      </c>
      <c r="E25" s="10" t="n">
        <f aca="false">E24*(1+D25)</f>
        <v>236.119350542399</v>
      </c>
      <c r="F25" s="11" t="n">
        <f aca="false">E25/$E$5-1</f>
        <v>1.36119350542399</v>
      </c>
      <c r="G25" s="11" t="n">
        <f aca="false">E25/E13-1</f>
        <v>0.785481960727203</v>
      </c>
    </row>
    <row r="26" customFormat="false" ht="15" hidden="false" customHeight="false" outlineLevel="0" collapsed="false">
      <c r="A26" s="7" t="n">
        <v>44805</v>
      </c>
      <c r="B26" s="8" t="n">
        <f aca="false">YEAR(A26)</f>
        <v>2022</v>
      </c>
      <c r="C26" s="4" t="s">
        <v>19</v>
      </c>
      <c r="D26" s="9" t="n">
        <v>0.0617</v>
      </c>
      <c r="E26" s="10" t="n">
        <f aca="false">E25*(1+D26)</f>
        <v>250.687914470865</v>
      </c>
      <c r="F26" s="11" t="n">
        <f aca="false">E26/$E$5-1</f>
        <v>1.50687914470865</v>
      </c>
      <c r="G26" s="11" t="n">
        <f aca="false">E26/E14-1</f>
        <v>0.830657844233772</v>
      </c>
    </row>
    <row r="27" customFormat="false" ht="15" hidden="false" customHeight="false" outlineLevel="0" collapsed="false">
      <c r="A27" s="7" t="n">
        <v>44835</v>
      </c>
      <c r="B27" s="8" t="n">
        <f aca="false">YEAR(A27)</f>
        <v>2022</v>
      </c>
      <c r="C27" s="4" t="s">
        <v>20</v>
      </c>
      <c r="D27" s="9" t="n">
        <v>0.0635</v>
      </c>
      <c r="E27" s="10" t="n">
        <f aca="false">E26*(1+D27)</f>
        <v>266.606597039765</v>
      </c>
      <c r="F27" s="11" t="n">
        <f aca="false">E27/$E$5-1</f>
        <v>1.66606597039765</v>
      </c>
      <c r="G27" s="11" t="n">
        <f aca="false">E27/E15-1</f>
        <v>0.880703842100673</v>
      </c>
    </row>
    <row r="28" customFormat="false" ht="15" hidden="false" customHeight="false" outlineLevel="0" collapsed="false">
      <c r="A28" s="7" t="n">
        <v>44866</v>
      </c>
      <c r="B28" s="8" t="n">
        <f aca="false">YEAR(A28)</f>
        <v>2022</v>
      </c>
      <c r="C28" s="4" t="s">
        <v>21</v>
      </c>
      <c r="D28" s="9" t="n">
        <v>0.0492</v>
      </c>
      <c r="E28" s="10" t="n">
        <f aca="false">E27*(1+D28)</f>
        <v>279.723641614121</v>
      </c>
      <c r="F28" s="11" t="n">
        <f aca="false">E28/$E$5-1</f>
        <v>1.79723641614121</v>
      </c>
      <c r="G28" s="11" t="n">
        <f aca="false">E28/E16-1</f>
        <v>0.92454352007415</v>
      </c>
    </row>
    <row r="29" customFormat="false" ht="15" hidden="false" customHeight="false" outlineLevel="0" collapsed="false">
      <c r="A29" s="7" t="n">
        <v>44896</v>
      </c>
      <c r="B29" s="8" t="n">
        <f aca="false">YEAR(A29)</f>
        <v>2022</v>
      </c>
      <c r="C29" s="4" t="s">
        <v>22</v>
      </c>
      <c r="D29" s="9" t="n">
        <v>0.0512</v>
      </c>
      <c r="E29" s="10" t="n">
        <f aca="false">E28*(1+D29)</f>
        <v>294.045492064764</v>
      </c>
      <c r="F29" s="11" t="n">
        <f aca="false">E29/$E$5-1</f>
        <v>1.94045492064764</v>
      </c>
      <c r="G29" s="11" t="n">
        <f aca="false">E29/E17-1</f>
        <v>0.948266706762275</v>
      </c>
    </row>
    <row r="30" customFormat="false" ht="15" hidden="false" customHeight="false" outlineLevel="0" collapsed="false">
      <c r="A30" s="7" t="n">
        <v>44927</v>
      </c>
      <c r="B30" s="8" t="n">
        <f aca="false">YEAR(A30)</f>
        <v>2023</v>
      </c>
      <c r="C30" s="4" t="s">
        <v>10</v>
      </c>
      <c r="D30" s="9" t="n">
        <v>0.0603</v>
      </c>
      <c r="E30" s="10" t="n">
        <f aca="false">E29*(1+D30)</f>
        <v>311.77643523627</v>
      </c>
      <c r="F30" s="11" t="n">
        <f aca="false">E30/$E$5-1</f>
        <v>2.1177643523627</v>
      </c>
      <c r="G30" s="11" t="n">
        <f aca="false">E30/E18-1</f>
        <v>0.988589901020448</v>
      </c>
    </row>
    <row r="31" customFormat="false" ht="15" hidden="false" customHeight="false" outlineLevel="0" collapsed="false">
      <c r="A31" s="7" t="n">
        <v>44958</v>
      </c>
      <c r="B31" s="8" t="n">
        <f aca="false">YEAR(A31)</f>
        <v>2023</v>
      </c>
      <c r="C31" s="4" t="s">
        <v>12</v>
      </c>
      <c r="D31" s="9" t="n">
        <v>0.0663</v>
      </c>
      <c r="E31" s="10" t="n">
        <f aca="false">E30*(1+D31)</f>
        <v>332.447212892434</v>
      </c>
      <c r="F31" s="11" t="n">
        <f aca="false">E31/$E$5-1</f>
        <v>2.32447212892434</v>
      </c>
      <c r="G31" s="11" t="n">
        <f aca="false">E31/E19-1</f>
        <v>1.02544026311787</v>
      </c>
    </row>
    <row r="32" customFormat="false" ht="15" hidden="false" customHeight="false" outlineLevel="0" collapsed="false">
      <c r="A32" s="7" t="n">
        <v>44986</v>
      </c>
      <c r="B32" s="8" t="n">
        <f aca="false">YEAR(A32)</f>
        <v>2023</v>
      </c>
      <c r="C32" s="4" t="s">
        <v>13</v>
      </c>
      <c r="D32" s="9" t="n">
        <v>0.0768</v>
      </c>
      <c r="E32" s="10" t="n">
        <f aca="false">E31*(1+D32)</f>
        <v>357.979158842573</v>
      </c>
      <c r="F32" s="11" t="n">
        <f aca="false">E32/$E$5-1</f>
        <v>2.57979158842573</v>
      </c>
      <c r="G32" s="11" t="n">
        <f aca="false">E32/E20-1</f>
        <v>1.0434686361148</v>
      </c>
    </row>
    <row r="33" customFormat="false" ht="15" hidden="false" customHeight="false" outlineLevel="0" collapsed="false">
      <c r="A33" s="7" t="n">
        <v>45017</v>
      </c>
      <c r="B33" s="8" t="n">
        <f aca="false">YEAR(A33)</f>
        <v>2023</v>
      </c>
      <c r="C33" s="4" t="s">
        <v>14</v>
      </c>
      <c r="D33" s="9" t="n">
        <v>0.084</v>
      </c>
      <c r="E33" s="10" t="n">
        <f aca="false">E32*(1+D33)</f>
        <v>388.04940818535</v>
      </c>
      <c r="F33" s="11" t="n">
        <f aca="false">E33/$E$5-1</f>
        <v>2.88049408185349</v>
      </c>
      <c r="G33" s="11" t="n">
        <f aca="false">E33/E21-1</f>
        <v>1.08875059080476</v>
      </c>
    </row>
    <row r="34" customFormat="false" ht="15" hidden="false" customHeight="false" outlineLevel="0" collapsed="false">
      <c r="A34" s="7" t="n">
        <v>45047</v>
      </c>
      <c r="B34" s="8" t="n">
        <f aca="false">YEAR(A34)</f>
        <v>2023</v>
      </c>
      <c r="C34" s="4" t="s">
        <v>15</v>
      </c>
      <c r="D34" s="9" t="n">
        <v>0.0777</v>
      </c>
      <c r="E34" s="10" t="n">
        <f aca="false">E33*(1+D34)</f>
        <v>418.200847201351</v>
      </c>
      <c r="F34" s="11" t="n">
        <f aca="false">E34/$E$5-1</f>
        <v>3.18200847201351</v>
      </c>
      <c r="G34" s="11" t="n">
        <f aca="false">E34/E22-1</f>
        <v>1.14283342380798</v>
      </c>
    </row>
    <row r="35" customFormat="false" ht="15" hidden="false" customHeight="false" outlineLevel="0" collapsed="false">
      <c r="A35" s="7" t="n">
        <v>45078</v>
      </c>
      <c r="B35" s="8" t="n">
        <f aca="false">YEAR(A35)</f>
        <v>2023</v>
      </c>
      <c r="C35" s="4" t="s">
        <v>16</v>
      </c>
      <c r="D35" s="9" t="n">
        <v>0.0595</v>
      </c>
      <c r="E35" s="10" t="n">
        <f aca="false">E34*(1+D35)</f>
        <v>443.083797609832</v>
      </c>
      <c r="F35" s="11" t="n">
        <f aca="false">E35/$E$5-1</f>
        <v>3.43083797609831</v>
      </c>
      <c r="G35" s="11" t="n">
        <f aca="false">E35/E23-1</f>
        <v>1.15606079062161</v>
      </c>
    </row>
    <row r="36" customFormat="false" ht="15" hidden="false" customHeight="false" outlineLevel="0" collapsed="false">
      <c r="A36" s="7" t="n">
        <v>45108</v>
      </c>
      <c r="B36" s="8" t="n">
        <f aca="false">YEAR(A36)</f>
        <v>2023</v>
      </c>
      <c r="C36" s="4" t="s">
        <v>17</v>
      </c>
      <c r="D36" s="9" t="n">
        <v>0.0634</v>
      </c>
      <c r="E36" s="10" t="n">
        <f aca="false">E35*(1+D36)</f>
        <v>471.175310378295</v>
      </c>
      <c r="F36" s="11" t="n">
        <f aca="false">E36/$E$5-1</f>
        <v>3.71175310378295</v>
      </c>
      <c r="G36" s="11" t="n">
        <f aca="false">E36/E24-1</f>
        <v>1.13458248277351</v>
      </c>
    </row>
    <row r="37" customFormat="false" ht="15" hidden="false" customHeight="false" outlineLevel="0" collapsed="false">
      <c r="A37" s="7" t="n">
        <v>45139</v>
      </c>
      <c r="B37" s="8" t="n">
        <f aca="false">YEAR(A37)</f>
        <v>2023</v>
      </c>
      <c r="C37" s="4" t="s">
        <v>18</v>
      </c>
      <c r="D37" s="9" t="n">
        <v>0.1244</v>
      </c>
      <c r="E37" s="10" t="n">
        <f aca="false">E36*(1+D37)</f>
        <v>529.789518989355</v>
      </c>
      <c r="F37" s="11" t="n">
        <f aca="false">E37/$E$5-1</f>
        <v>4.29789518989355</v>
      </c>
      <c r="G37" s="11" t="n">
        <f aca="false">E37/E25-1</f>
        <v>1.24373613501966</v>
      </c>
    </row>
    <row r="38" customFormat="false" ht="15" hidden="false" customHeight="false" outlineLevel="0" collapsed="false">
      <c r="A38" s="7" t="n">
        <v>45170</v>
      </c>
      <c r="B38" s="8" t="n">
        <f aca="false">YEAR(A38)</f>
        <v>2023</v>
      </c>
      <c r="C38" s="4" t="s">
        <v>19</v>
      </c>
      <c r="D38" s="9" t="n">
        <v>0.1275</v>
      </c>
      <c r="E38" s="10" t="n">
        <f aca="false">E37*(1+D38)</f>
        <v>597.337682660497</v>
      </c>
      <c r="F38" s="11" t="n">
        <f aca="false">E38/$E$5-1</f>
        <v>4.97337682660497</v>
      </c>
      <c r="G38" s="11" t="n">
        <f aca="false">E38/E26-1</f>
        <v>1.38279409648174</v>
      </c>
    </row>
    <row r="39" customFormat="false" ht="15" hidden="false" customHeight="false" outlineLevel="0" collapsed="false">
      <c r="A39" s="7" t="n">
        <v>45200</v>
      </c>
      <c r="B39" s="8" t="n">
        <f aca="false">YEAR(A39)</f>
        <v>2023</v>
      </c>
      <c r="C39" s="4" t="s">
        <v>20</v>
      </c>
      <c r="D39" s="9" t="n">
        <v>0.083</v>
      </c>
      <c r="E39" s="10" t="n">
        <f aca="false">E38*(1+D39)</f>
        <v>646.916710321319</v>
      </c>
      <c r="F39" s="11" t="n">
        <f aca="false">E39/$E$5-1</f>
        <v>5.46916710321319</v>
      </c>
      <c r="G39" s="11" t="n">
        <f aca="false">E39/E27-1</f>
        <v>1.42648425621977</v>
      </c>
    </row>
    <row r="40" customFormat="false" ht="15" hidden="false" customHeight="false" outlineLevel="0" collapsed="false">
      <c r="A40" s="7" t="n">
        <v>45231</v>
      </c>
      <c r="B40" s="8" t="n">
        <f aca="false">YEAR(A40)</f>
        <v>2023</v>
      </c>
      <c r="C40" s="4" t="s">
        <v>21</v>
      </c>
      <c r="D40" s="9" t="n">
        <v>0.1281</v>
      </c>
      <c r="E40" s="10" t="n">
        <f aca="false">E39*(1+D40)</f>
        <v>729.786740913479</v>
      </c>
      <c r="F40" s="11" t="n">
        <f aca="false">E40/$E$5-1</f>
        <v>6.29786740913479</v>
      </c>
      <c r="G40" s="11" t="n">
        <f aca="false">E40/E28-1</f>
        <v>1.60895624231941</v>
      </c>
    </row>
    <row r="41" customFormat="false" ht="15" hidden="false" customHeight="false" outlineLevel="0" collapsed="false">
      <c r="A41" s="7" t="n">
        <v>45261</v>
      </c>
      <c r="B41" s="8" t="n">
        <f aca="false">YEAR(A41)</f>
        <v>2023</v>
      </c>
      <c r="C41" s="4" t="s">
        <v>22</v>
      </c>
      <c r="D41" s="9" t="n">
        <v>0.2547</v>
      </c>
      <c r="E41" s="10" t="n">
        <f aca="false">E40*(1+D41)</f>
        <v>915.663423824143</v>
      </c>
      <c r="F41" s="11" t="n">
        <f aca="false">E41/$E$5-1</f>
        <v>8.15663423824143</v>
      </c>
      <c r="G41" s="11" t="n">
        <f aca="false">E41/E29-1</f>
        <v>2.11401959402413</v>
      </c>
    </row>
    <row r="42" customFormat="false" ht="15" hidden="false" customHeight="false" outlineLevel="0" collapsed="false">
      <c r="A42" s="7" t="n">
        <v>45292</v>
      </c>
      <c r="B42" s="8" t="n">
        <f aca="false">YEAR(A42)</f>
        <v>2024</v>
      </c>
      <c r="C42" s="4" t="s">
        <v>10</v>
      </c>
      <c r="D42" s="9" t="n">
        <v>0.2061</v>
      </c>
      <c r="E42" s="10" t="n">
        <f aca="false">E41*(1+D42)</f>
        <v>1104.3816554743</v>
      </c>
      <c r="F42" s="11" t="n">
        <f aca="false">E42/$E$5-1</f>
        <v>10.043816554743</v>
      </c>
      <c r="G42" s="11" t="n">
        <f aca="false">E42/E30-1</f>
        <v>2.54222298627983</v>
      </c>
    </row>
    <row r="43" customFormat="false" ht="15" hidden="false" customHeight="false" outlineLevel="0" collapsed="false">
      <c r="A43" s="7" t="n">
        <v>45323</v>
      </c>
      <c r="B43" s="8" t="n">
        <f aca="false">YEAR(A43)</f>
        <v>2024</v>
      </c>
      <c r="C43" s="4" t="s">
        <v>12</v>
      </c>
      <c r="D43" s="9" t="n">
        <v>0.1324</v>
      </c>
      <c r="E43" s="10" t="n">
        <f aca="false">E42*(1+D43)</f>
        <v>1250.6017866591</v>
      </c>
      <c r="F43" s="11" t="n">
        <f aca="false">E43/$E$5-1</f>
        <v>11.506017866591</v>
      </c>
      <c r="G43" s="11" t="n">
        <f aca="false">E43/E31-1</f>
        <v>2.7618055984838</v>
      </c>
    </row>
    <row r="44" customFormat="false" ht="15" hidden="false" customHeight="false" outlineLevel="0" collapsed="false">
      <c r="A44" s="7" t="n">
        <v>45352</v>
      </c>
      <c r="B44" s="8" t="n">
        <f aca="false">YEAR(A44)</f>
        <v>2024</v>
      </c>
      <c r="C44" s="4" t="s">
        <v>13</v>
      </c>
      <c r="D44" s="9" t="n">
        <v>0.1101</v>
      </c>
      <c r="E44" s="10" t="n">
        <f aca="false">E43*(1+D44)</f>
        <v>1388.29304337026</v>
      </c>
      <c r="F44" s="11" t="n">
        <f aca="false">E44/$E$5-1</f>
        <v>12.8829304337026</v>
      </c>
      <c r="G44" s="11" t="n">
        <f aca="false">E44/E32-1</f>
        <v>2.87813929687673</v>
      </c>
    </row>
    <row r="45" customFormat="false" ht="15" hidden="false" customHeight="false" outlineLevel="0" collapsed="false">
      <c r="A45" s="7" t="n">
        <v>45383</v>
      </c>
      <c r="B45" s="8" t="n">
        <f aca="false">YEAR(A45)</f>
        <v>2024</v>
      </c>
      <c r="C45" s="4" t="s">
        <v>14</v>
      </c>
      <c r="D45" s="9" t="n">
        <v>0.0883</v>
      </c>
      <c r="E45" s="10" t="n">
        <f aca="false">E44*(1+D45)</f>
        <v>1510.87931909986</v>
      </c>
      <c r="F45" s="11" t="n">
        <f aca="false">E45/$E$5-1</f>
        <v>14.1087931909986</v>
      </c>
      <c r="G45" s="11" t="n">
        <f aca="false">E45/E33-1</f>
        <v>2.89352305977025</v>
      </c>
    </row>
    <row r="46" customFormat="false" ht="15" hidden="false" customHeight="false" outlineLevel="0" collapsed="false">
      <c r="A46" s="7" t="n">
        <v>45413</v>
      </c>
      <c r="B46" s="8" t="n">
        <f aca="false">YEAR(A46)</f>
        <v>2024</v>
      </c>
      <c r="C46" s="4" t="s">
        <v>15</v>
      </c>
      <c r="D46" s="9" t="n">
        <v>0.0418</v>
      </c>
      <c r="E46" s="10" t="n">
        <f aca="false">E45*(1+D46)</f>
        <v>1574.03407463823</v>
      </c>
      <c r="F46" s="11" t="n">
        <f aca="false">E46/$E$5-1</f>
        <v>14.7403407463823</v>
      </c>
      <c r="G46" s="11" t="n">
        <f aca="false">E46/E34-1</f>
        <v>2.7638232566286</v>
      </c>
    </row>
    <row r="47" customFormat="false" ht="15" hidden="false" customHeight="false" outlineLevel="0" collapsed="false">
      <c r="A47" s="7" t="n">
        <v>45444</v>
      </c>
      <c r="B47" s="8" t="n">
        <f aca="false">YEAR(A47)</f>
        <v>2024</v>
      </c>
      <c r="C47" s="4" t="s">
        <v>16</v>
      </c>
      <c r="D47" s="9" t="n">
        <v>0.0458</v>
      </c>
      <c r="E47" s="10" t="n">
        <f aca="false">E46*(1+D47)</f>
        <v>1646.12483525666</v>
      </c>
      <c r="F47" s="11" t="n">
        <f aca="false">E47/$E$5-1</f>
        <v>15.4612483525666</v>
      </c>
      <c r="G47" s="11" t="n">
        <f aca="false">E47/E35-1</f>
        <v>2.71515465953959</v>
      </c>
    </row>
    <row r="48" customFormat="false" ht="15" hidden="false" customHeight="false" outlineLevel="0" collapsed="false">
      <c r="A48" s="7" t="n">
        <v>45474</v>
      </c>
      <c r="B48" s="8" t="n">
        <f aca="false">YEAR(A48)</f>
        <v>2024</v>
      </c>
      <c r="C48" s="4" t="s">
        <v>17</v>
      </c>
      <c r="D48" s="9" t="n">
        <v>0.0403</v>
      </c>
      <c r="E48" s="10" t="n">
        <f aca="false">E47*(1+D48)</f>
        <v>1712.4636661175</v>
      </c>
      <c r="F48" s="11" t="n">
        <f aca="false">E48/$E$5-1</f>
        <v>16.124636661175</v>
      </c>
      <c r="G48" s="11" t="n">
        <f aca="false">E48/E36-1</f>
        <v>2.63445118705946</v>
      </c>
    </row>
    <row r="49" customFormat="false" ht="15" hidden="false" customHeight="false" outlineLevel="0" collapsed="false">
      <c r="A49" s="7" t="n">
        <v>45505</v>
      </c>
      <c r="B49" s="8" t="n">
        <f aca="false">YEAR(A49)</f>
        <v>2024</v>
      </c>
      <c r="C49" s="4" t="s">
        <v>18</v>
      </c>
      <c r="D49" s="9" t="n">
        <v>0.0417</v>
      </c>
      <c r="E49" s="10" t="n">
        <f aca="false">E48*(1+D49)</f>
        <v>1783.8734009946</v>
      </c>
      <c r="F49" s="11" t="n">
        <f aca="false">E49/$E$5-1</f>
        <v>16.838734009946</v>
      </c>
      <c r="G49" s="11" t="n">
        <f aca="false">E49/E37-1</f>
        <v>2.36713607395931</v>
      </c>
    </row>
    <row r="50" customFormat="false" ht="15" hidden="false" customHeight="false" outlineLevel="0" collapsed="false">
      <c r="A50" s="7" t="n">
        <v>45536</v>
      </c>
      <c r="B50" s="8" t="n">
        <f aca="false">YEAR(A50)</f>
        <v>2024</v>
      </c>
      <c r="C50" s="4" t="s">
        <v>19</v>
      </c>
      <c r="D50" s="9" t="n">
        <v>0.0347</v>
      </c>
      <c r="E50" s="10" t="n">
        <f aca="false">E49*(1+D50)</f>
        <v>1845.77380800912</v>
      </c>
      <c r="F50" s="11" t="n">
        <f aca="false">E50/$E$5-1</f>
        <v>17.4577380800912</v>
      </c>
      <c r="G50" s="11" t="n">
        <f aca="false">E50/E38-1</f>
        <v>2.09000061705161</v>
      </c>
    </row>
    <row r="51" customFormat="false" ht="15" hidden="false" customHeight="false" outlineLevel="0" collapsed="false">
      <c r="A51" s="7" t="n">
        <v>45566</v>
      </c>
      <c r="B51" s="8" t="n">
        <f aca="false">YEAR(A51)</f>
        <v>2024</v>
      </c>
      <c r="C51" s="4" t="s">
        <v>20</v>
      </c>
      <c r="D51" s="9" t="n">
        <v>0.0269</v>
      </c>
      <c r="E51" s="10" t="n">
        <f aca="false">E50*(1+D51)</f>
        <v>1895.42512344456</v>
      </c>
      <c r="F51" s="11" t="n">
        <f aca="false">E51/$E$5-1</f>
        <v>17.9542512344456</v>
      </c>
      <c r="G51" s="11" t="n">
        <f aca="false">E51/E39-1</f>
        <v>1.92993687317664</v>
      </c>
    </row>
    <row r="52" customFormat="false" ht="15" hidden="false" customHeight="false" outlineLevel="0" collapsed="false">
      <c r="A52" s="7" t="n">
        <v>45597</v>
      </c>
      <c r="B52" s="8" t="n">
        <f aca="false">YEAR(A52)</f>
        <v>2024</v>
      </c>
      <c r="C52" s="4" t="s">
        <v>21</v>
      </c>
      <c r="D52" s="9" t="n">
        <v>0.0243</v>
      </c>
      <c r="E52" s="10" t="n">
        <f aca="false">E51*(1+D52)</f>
        <v>1941.48395394427</v>
      </c>
      <c r="F52" s="11" t="n">
        <f aca="false">E52/$E$5-1</f>
        <v>18.4148395394427</v>
      </c>
      <c r="G52" s="11" t="n">
        <f aca="false">E52/E40-1</f>
        <v>1.66034424181795</v>
      </c>
    </row>
    <row r="53" customFormat="false" ht="15" hidden="false" customHeight="false" outlineLevel="0" collapsed="false">
      <c r="A53" s="7" t="n">
        <v>45627</v>
      </c>
      <c r="B53" s="8" t="n">
        <f aca="false">YEAR(A53)</f>
        <v>2024</v>
      </c>
      <c r="C53" s="4" t="s">
        <v>22</v>
      </c>
      <c r="D53" s="9" t="n">
        <v>0.027</v>
      </c>
      <c r="E53" s="10" t="n">
        <f aca="false">E52*(1+D53)</f>
        <v>1993.90402070076</v>
      </c>
      <c r="F53" s="11" t="n">
        <f aca="false">E53/$E$5-1</f>
        <v>18.9390402070076</v>
      </c>
      <c r="G53" s="11" t="n">
        <f aca="false">E53/E41-1</f>
        <v>1.17755123642866</v>
      </c>
    </row>
    <row r="54" customFormat="false" ht="15" hidden="false" customHeight="false" outlineLevel="0" collapsed="false">
      <c r="A54" s="7" t="n">
        <v>45658</v>
      </c>
      <c r="B54" s="8" t="n">
        <f aca="false">YEAR(A54)</f>
        <v>2025</v>
      </c>
      <c r="C54" s="4" t="s">
        <v>10</v>
      </c>
      <c r="D54" s="9" t="n">
        <v>0.0221</v>
      </c>
      <c r="E54" s="10" t="n">
        <f aca="false">E53*(1+D54)</f>
        <v>2037.96929955825</v>
      </c>
      <c r="F54" s="11" t="n">
        <f aca="false">E54/$E$5-1</f>
        <v>19.3796929955825</v>
      </c>
      <c r="G54" s="11" t="n">
        <f aca="false">E54/E42-1</f>
        <v>0.845348742851946</v>
      </c>
    </row>
    <row r="55" customFormat="false" ht="15" hidden="false" customHeight="false" outlineLevel="0" collapsed="false">
      <c r="A55" s="7" t="n">
        <v>45689</v>
      </c>
      <c r="B55" s="8" t="n">
        <f aca="false">YEAR(A55)</f>
        <v>2025</v>
      </c>
      <c r="C55" s="4" t="s">
        <v>12</v>
      </c>
      <c r="D55" s="9" t="n">
        <v>0.024</v>
      </c>
      <c r="E55" s="10" t="n">
        <f aca="false">E54*(1+D55)</f>
        <v>2086.88056274765</v>
      </c>
      <c r="F55" s="11" t="n">
        <f aca="false">E55/$E$5-1</f>
        <v>19.8688056274765</v>
      </c>
      <c r="G55" s="11" t="n">
        <f aca="false">E55/E43-1</f>
        <v>0.668701088555628</v>
      </c>
    </row>
    <row r="56" customFormat="false" ht="15" hidden="false" customHeight="false" outlineLevel="0" collapsed="false">
      <c r="A56" s="7" t="n">
        <v>45717</v>
      </c>
      <c r="B56" s="8" t="n">
        <f aca="false">YEAR(A56)</f>
        <v>2025</v>
      </c>
      <c r="C56" s="4" t="s">
        <v>13</v>
      </c>
      <c r="D56" s="9" t="n">
        <v>0.0373</v>
      </c>
      <c r="E56" s="10" t="n">
        <f aca="false">E55*(1+D56)</f>
        <v>2164.72120773813</v>
      </c>
      <c r="F56" s="11" t="n">
        <f aca="false">E56/$E$5-1</f>
        <v>20.6472120773813</v>
      </c>
      <c r="G56" s="11" t="n">
        <f aca="false">E56/E44-1</f>
        <v>0.559268209313353</v>
      </c>
    </row>
    <row r="57" customFormat="false" ht="15" hidden="false" customHeight="false" outlineLevel="0" collapsed="false">
      <c r="A57" s="7" t="n">
        <v>45748</v>
      </c>
      <c r="B57" s="8" t="n">
        <f aca="false">YEAR(A57)</f>
        <v>2025</v>
      </c>
      <c r="C57" s="4" t="s">
        <v>14</v>
      </c>
      <c r="D57" s="9" t="n">
        <v>0.0278</v>
      </c>
      <c r="E57" s="10" t="n">
        <f aca="false">E56*(1+D57)</f>
        <v>2224.90045731325</v>
      </c>
      <c r="F57" s="11" t="n">
        <f aca="false">E57/$E$5-1</f>
        <v>21.2490045731325</v>
      </c>
      <c r="G57" s="11" t="n">
        <f aca="false">E57/E45-1</f>
        <v>0.472586479401143</v>
      </c>
    </row>
    <row r="58" customFormat="false" ht="15" hidden="false" customHeight="false" outlineLevel="0" collapsed="false">
      <c r="A58" s="7" t="n">
        <v>45778</v>
      </c>
      <c r="B58" s="8" t="n">
        <f aca="false">YEAR(A58)</f>
        <v>2025</v>
      </c>
      <c r="C58" s="4" t="s">
        <v>15</v>
      </c>
      <c r="D58" s="9" t="n">
        <v>0.015</v>
      </c>
      <c r="E58" s="10" t="n">
        <f aca="false">E57*(1+D58)</f>
        <v>2258.27396417295</v>
      </c>
      <c r="F58" s="11" t="n">
        <f aca="false">E58/$E$5-1</f>
        <v>21.5827396417295</v>
      </c>
      <c r="G58" s="11" t="n">
        <f aca="false">E58/E46-1</f>
        <v>0.434704623336686</v>
      </c>
    </row>
    <row r="59" customFormat="false" ht="15" hidden="false" customHeight="false" outlineLevel="0" collapsed="false">
      <c r="A59" s="7" t="n">
        <v>45809</v>
      </c>
      <c r="B59" s="8" t="n">
        <f aca="false">YEAR(A59)</f>
        <v>2025</v>
      </c>
      <c r="C59" s="4" t="s">
        <v>16</v>
      </c>
      <c r="D59" s="9" t="n">
        <v>0.0162</v>
      </c>
      <c r="E59" s="10" t="n">
        <f aca="false">E58*(1+D59)</f>
        <v>2294.85800239255</v>
      </c>
      <c r="F59" s="11" t="n">
        <f aca="false">E59/$E$5-1</f>
        <v>21.9485800239255</v>
      </c>
      <c r="G59" s="11" t="n">
        <f aca="false">E59/E47-1</f>
        <v>0.394097187067069</v>
      </c>
    </row>
    <row r="60" customFormat="false" ht="15" hidden="false" customHeight="false" outlineLevel="0" collapsed="false">
      <c r="A60" s="7" t="n">
        <v>45839</v>
      </c>
      <c r="B60" s="8" t="n">
        <f aca="false">YEAR(A60)</f>
        <v>2025</v>
      </c>
      <c r="C60" s="4" t="s">
        <v>17</v>
      </c>
      <c r="D60" s="9" t="n">
        <v>0.019</v>
      </c>
      <c r="E60" s="10" t="n">
        <f aca="false">E59*(1+D60)</f>
        <v>2338.46030443801</v>
      </c>
      <c r="F60" s="11" t="n">
        <f aca="false">E60/$E$5-1</f>
        <v>22.3846030443801</v>
      </c>
      <c r="G60" s="11" t="n">
        <f aca="false">E60/E48-1</f>
        <v>0.365553238124909</v>
      </c>
    </row>
    <row r="61" customFormat="false" ht="15" hidden="false" customHeight="false" outlineLevel="0" collapsed="false">
      <c r="A61" s="7" t="n">
        <v>45870</v>
      </c>
      <c r="B61" s="8" t="n">
        <f aca="false">YEAR(A61)</f>
        <v>2025</v>
      </c>
      <c r="C61" s="4" t="s">
        <v>18</v>
      </c>
      <c r="D61" s="9" t="n">
        <v>0.0188</v>
      </c>
      <c r="E61" s="10" t="n">
        <f aca="false">E60*(1+D61)</f>
        <v>2382.42335816145</v>
      </c>
      <c r="F61" s="11" t="n">
        <f aca="false">E61/$E$5-1</f>
        <v>22.8242335816145</v>
      </c>
      <c r="G61" s="11" t="n">
        <f aca="false">E61/E49-1</f>
        <v>0.335533876357547</v>
      </c>
    </row>
    <row r="62" customFormat="false" ht="15" hidden="false" customHeight="false" outlineLevel="0" collapsed="false">
      <c r="A62" s="7" t="n">
        <v>45901</v>
      </c>
      <c r="B62" s="8" t="n">
        <f aca="false">YEAR(A62)</f>
        <v>2025</v>
      </c>
      <c r="C62" s="4" t="s">
        <v>19</v>
      </c>
      <c r="D62" s="9" t="n">
        <v>0.0208</v>
      </c>
      <c r="E62" s="10" t="n">
        <f aca="false">E61*(1+D62)</f>
        <v>2431.9777640112</v>
      </c>
      <c r="F62" s="11" t="n">
        <f aca="false">E62/$E$5-1</f>
        <v>23.319777640112</v>
      </c>
      <c r="G62" s="11" t="n">
        <f aca="false">E62/E50-1</f>
        <v>0.317592520523615</v>
      </c>
    </row>
    <row r="63" customFormat="false" ht="15" hidden="false" customHeight="false" outlineLevel="0" collapsed="false">
      <c r="A63" s="7" t="n">
        <v>45931</v>
      </c>
      <c r="B63" s="8" t="n">
        <f aca="false">YEAR(A63)</f>
        <v>2025</v>
      </c>
      <c r="C63" s="4" t="s">
        <v>20</v>
      </c>
      <c r="D63" s="9" t="n">
        <v>0.0234</v>
      </c>
      <c r="E63" s="10" t="n">
        <f aca="false">E62*(1+D63)</f>
        <v>2488.88604368907</v>
      </c>
      <c r="F63" s="11" t="n">
        <f aca="false">E63/$E$5-1</f>
        <v>23.8888604368907</v>
      </c>
      <c r="G63" s="11" t="n">
        <f aca="false">E63/E51-1</f>
        <v>0.313101748470024</v>
      </c>
    </row>
    <row r="64" customFormat="false" ht="15" hidden="false" customHeight="false" outlineLevel="0" collapsed="false">
      <c r="A64" s="7" t="n">
        <v>45962</v>
      </c>
      <c r="B64" s="8" t="n">
        <f aca="false">YEAR(A64)</f>
        <v>2025</v>
      </c>
      <c r="C64" s="4" t="s">
        <v>21</v>
      </c>
      <c r="D64" s="9" t="n">
        <v>0.0247</v>
      </c>
      <c r="E64" s="10" t="n">
        <f aca="false">E63*(1+D64)</f>
        <v>2550.36152896819</v>
      </c>
      <c r="F64" s="11" t="n">
        <f aca="false">E64/$E$5-1</f>
        <v>24.5036152896819</v>
      </c>
      <c r="G64" s="11" t="n">
        <f aca="false">E64/E52-1</f>
        <v>0.313614528611963</v>
      </c>
    </row>
    <row r="65" customFormat="false" ht="15" hidden="false" customHeight="false" outlineLevel="0" collapsed="false">
      <c r="A65" s="7" t="n">
        <v>45992</v>
      </c>
      <c r="B65" s="8" t="n">
        <f aca="false">YEAR(A65)</f>
        <v>2025</v>
      </c>
      <c r="C65" s="4" t="s">
        <v>22</v>
      </c>
      <c r="D65" s="9" t="n">
        <v>0.0285</v>
      </c>
      <c r="E65" s="10" t="n">
        <f aca="false">E64*(1+D65)</f>
        <v>2623.04683254378</v>
      </c>
      <c r="F65" s="11" t="n">
        <f aca="false">E65/$E$5-1</f>
        <v>25.2304683254378</v>
      </c>
      <c r="G65" s="11" t="n">
        <f aca="false">E65/E53-1</f>
        <v>0.31553314768978</v>
      </c>
    </row>
    <row r="66" customFormat="false" ht="15" hidden="false" customHeight="false" outlineLevel="0" collapsed="false">
      <c r="A66" s="7" t="n">
        <v>46023</v>
      </c>
      <c r="B66" s="8" t="n">
        <f aca="false">YEAR(A66)</f>
        <v>2026</v>
      </c>
      <c r="C66" s="4" t="s">
        <v>10</v>
      </c>
      <c r="D66" s="9" t="n">
        <v>0.0288</v>
      </c>
      <c r="E66" s="10" t="n">
        <f aca="false">E65*(1+D66)</f>
        <v>2698.59058132104</v>
      </c>
      <c r="F66" s="11" t="n">
        <f aca="false">E66/$E$5-1</f>
        <v>25.9859058132104</v>
      </c>
      <c r="G66" s="11" t="n">
        <f aca="false">E66/E54-1</f>
        <v>0.324156640586288</v>
      </c>
    </row>
    <row r="67" customFormat="false" ht="15" hidden="false" customHeight="false" outlineLevel="0" collapsed="false">
      <c r="A67" s="7" t="n">
        <v>46054</v>
      </c>
      <c r="B67" s="8" t="n">
        <f aca="false">YEAR(A67)</f>
        <v>2026</v>
      </c>
      <c r="C67" s="4" t="s">
        <v>12</v>
      </c>
      <c r="D67" s="9" t="n">
        <v>0.029</v>
      </c>
      <c r="E67" s="10" t="n">
        <f aca="false">E66*(1+D67)</f>
        <v>2776.84970817935</v>
      </c>
      <c r="F67" s="11" t="n">
        <f aca="false">E67/$E$5-1</f>
        <v>26.7684970817935</v>
      </c>
      <c r="G67" s="11" t="n">
        <f aca="false">E67/E55-1</f>
        <v>0.330622249182901</v>
      </c>
    </row>
    <row r="68" customFormat="false" ht="15" hidden="false" customHeight="false" outlineLevel="0" collapsed="false">
      <c r="A68" s="7" t="n">
        <v>46082</v>
      </c>
      <c r="B68" s="8" t="n">
        <f aca="false">YEAR(A68)</f>
        <v>2026</v>
      </c>
      <c r="C68" s="4" t="s">
        <v>13</v>
      </c>
      <c r="D68" s="9" t="n">
        <v>0.0338</v>
      </c>
      <c r="E68" s="10" t="n">
        <f aca="false">E67*(1+D68)</f>
        <v>2870.70722831581</v>
      </c>
      <c r="F68" s="11" t="n">
        <f aca="false">E68/$E$5-1</f>
        <v>27.7070722831581</v>
      </c>
      <c r="G68" s="11" t="n">
        <f aca="false">E68/E56-1</f>
        <v>0.3261325375545</v>
      </c>
    </row>
    <row r="69" customFormat="false" ht="15" hidden="false" customHeight="false" outlineLevel="0" collapsed="false">
      <c r="A69" s="7" t="n">
        <v>46113</v>
      </c>
      <c r="B69" s="8" t="n">
        <f aca="false">YEAR(A69)</f>
        <v>2026</v>
      </c>
      <c r="C69" s="4" t="s">
        <v>14</v>
      </c>
      <c r="D69" s="9" t="n">
        <v>0.0258</v>
      </c>
      <c r="E69" s="10" t="n">
        <f aca="false">E68*(1+D69)</f>
        <v>2944.77147480636</v>
      </c>
      <c r="F69" s="11" t="n">
        <f aca="false">E69/$E$5-1</f>
        <v>28.4477147480636</v>
      </c>
      <c r="G69" s="11" t="n">
        <f aca="false">E69/E57-1</f>
        <v>0.323552011114425</v>
      </c>
    </row>
    <row r="70" customFormat="false" ht="15" hidden="false" customHeight="false" outlineLevel="0" collapsed="false">
      <c r="A70" s="7" t="n">
        <v>46143</v>
      </c>
      <c r="B70" s="8" t="n">
        <f aca="false">YEAR(A70)</f>
        <v>2026</v>
      </c>
      <c r="C70" s="4" t="s">
        <v>15</v>
      </c>
      <c r="D70" s="9" t="n">
        <v>0.0215</v>
      </c>
      <c r="E70" s="10" t="n">
        <f aca="false">E69*(1+D70)</f>
        <v>3008.0840615147</v>
      </c>
      <c r="F70" s="11" t="n">
        <f aca="false">E70/$E$5-1</f>
        <v>29.080840615147</v>
      </c>
      <c r="G70" s="11" t="n">
        <f aca="false">E70/E58-1</f>
        <v>0.332027959954074</v>
      </c>
    </row>
    <row r="71" customFormat="false" ht="15" hidden="false" customHeight="false" outlineLevel="0" collapsed="false">
      <c r="A71" s="7" t="n">
        <v>46174</v>
      </c>
      <c r="B71" s="8" t="n">
        <f aca="false">YEAR(A71)</f>
        <v>2026</v>
      </c>
      <c r="C71" s="4" t="s">
        <v>16</v>
      </c>
      <c r="D71" s="9" t="n">
        <v>0.0189</v>
      </c>
      <c r="E71" s="10" t="n">
        <f aca="false">E70*(1+D71)</f>
        <v>3064.93685027732</v>
      </c>
      <c r="F71" s="11" t="n">
        <f aca="false">E71/$E$5-1</f>
        <v>29.6493685027732</v>
      </c>
      <c r="G71" s="11" t="n">
        <f aca="false">E71/E59-1</f>
        <v>0.335567101355251</v>
      </c>
    </row>
    <row r="72" customFormat="false" ht="15" hidden="false" customHeight="false" outlineLevel="0" collapsed="false">
      <c r="A72" s="7" t="n">
        <v>46204</v>
      </c>
      <c r="B72" s="8" t="n">
        <f aca="false">YEAR(A72)</f>
        <v>2026</v>
      </c>
      <c r="C72" s="4" t="s">
        <v>17</v>
      </c>
      <c r="D72" s="9" t="n">
        <v>0.0211</v>
      </c>
      <c r="E72" s="10" t="n">
        <f aca="false">E71*(1+D72)</f>
        <v>3129.60701781818</v>
      </c>
      <c r="F72" s="11" t="n">
        <f aca="false">E72/$E$5-1</f>
        <v>30.2960701781818</v>
      </c>
      <c r="G72" s="11" t="n">
        <f aca="false">E72/E60-1</f>
        <v>0.338319496755493</v>
      </c>
    </row>
    <row r="73" customFormat="false" ht="15" hidden="false" customHeight="false" outlineLevel="0" collapsed="false">
      <c r="A73" s="7" t="n">
        <v>46235</v>
      </c>
      <c r="B73" s="8" t="n">
        <f aca="false">YEAR(A73)</f>
        <v>2026</v>
      </c>
      <c r="C73" s="4" t="s">
        <v>18</v>
      </c>
      <c r="D73" s="9" t="n">
        <v>0.0166</v>
      </c>
      <c r="E73" s="10" t="n">
        <f aca="false">E72*(1+D73)</f>
        <v>3181.55849431396</v>
      </c>
      <c r="F73" s="11" t="n">
        <f aca="false">E73/$E$5-1</f>
        <v>30.8155849431396</v>
      </c>
      <c r="G73" s="11" t="n">
        <f aca="false">E73/E61-1</f>
        <v>0.335429525325514</v>
      </c>
    </row>
    <row r="75" customFormat="false" ht="15" hidden="false" customHeight="false" outlineLevel="0" collapsed="false">
      <c r="A75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2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1.5" hidden="false" customHeight="true" outlineLevel="0" collapsed="false">
      <c r="A4" s="3" t="s">
        <v>2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</row>
    <row r="5" customFormat="false" ht="15" hidden="false" customHeight="false" outlineLevel="0" collapsed="false">
      <c r="A5" s="7" t="n">
        <v>44197</v>
      </c>
      <c r="B5" s="12" t="n">
        <v>20587</v>
      </c>
      <c r="C5" s="10" t="n">
        <f aca="false">IPC_Mensual!E6</f>
        <v>104.04</v>
      </c>
      <c r="D5" s="13" t="n">
        <f aca="false">B5/(C5/100)</f>
        <v>19787.5816993464</v>
      </c>
      <c r="E5" s="14" t="n">
        <f aca="false">D5/$D$5*100</f>
        <v>100</v>
      </c>
      <c r="F5" s="11" t="n">
        <f aca="false">E5/100-1</f>
        <v>0</v>
      </c>
    </row>
    <row r="6" customFormat="false" ht="15" hidden="false" customHeight="false" outlineLevel="0" collapsed="false">
      <c r="A6" s="7" t="n">
        <v>44228</v>
      </c>
      <c r="B6" s="12" t="n">
        <v>20587</v>
      </c>
      <c r="C6" s="10" t="n">
        <f aca="false">IPC_Mensual!E7</f>
        <v>107.754228</v>
      </c>
      <c r="D6" s="13" t="n">
        <f aca="false">B6/(C6/100)</f>
        <v>19105.514820263</v>
      </c>
      <c r="E6" s="14" t="n">
        <f aca="false">D6/$D$5*100</f>
        <v>96.5530559042194</v>
      </c>
      <c r="F6" s="11" t="n">
        <f aca="false">E6/100-1</f>
        <v>-0.0344694409578064</v>
      </c>
    </row>
    <row r="7" customFormat="false" ht="15" hidden="false" customHeight="false" outlineLevel="0" collapsed="false">
      <c r="A7" s="7" t="n">
        <v>44256</v>
      </c>
      <c r="B7" s="12" t="n">
        <v>21600</v>
      </c>
      <c r="C7" s="10" t="n">
        <f aca="false">IPC_Mensual!E8</f>
        <v>112.9372063668</v>
      </c>
      <c r="D7" s="13" t="n">
        <f aca="false">B7/(C7/100)</f>
        <v>19125.6723048798</v>
      </c>
      <c r="E7" s="14" t="n">
        <f aca="false">D7/$D$5*100</f>
        <v>96.6549252732158</v>
      </c>
      <c r="F7" s="11" t="n">
        <f aca="false">E7/100-1</f>
        <v>-0.0334507472678424</v>
      </c>
    </row>
    <row r="8" customFormat="false" ht="15" hidden="false" customHeight="false" outlineLevel="0" collapsed="false">
      <c r="A8" s="7" t="n">
        <v>44287</v>
      </c>
      <c r="B8" s="12" t="n">
        <v>23544</v>
      </c>
      <c r="C8" s="10" t="n">
        <f aca="false">IPC_Mensual!E9</f>
        <v>117.545044386565</v>
      </c>
      <c r="D8" s="13" t="n">
        <f aca="false">B8/(C8/100)</f>
        <v>20029.7682670244</v>
      </c>
      <c r="E8" s="14" t="n">
        <f aca="false">D8/$D$5*100</f>
        <v>101.223932117415</v>
      </c>
      <c r="F8" s="11" t="n">
        <f aca="false">E8/100-1</f>
        <v>0.0122393211741467</v>
      </c>
    </row>
    <row r="9" customFormat="false" ht="15" hidden="false" customHeight="false" outlineLevel="0" collapsed="false">
      <c r="A9" s="7" t="n">
        <v>44317</v>
      </c>
      <c r="B9" s="12" t="n">
        <v>24408</v>
      </c>
      <c r="C9" s="10" t="n">
        <f aca="false">IPC_Mensual!E10</f>
        <v>121.447539860199</v>
      </c>
      <c r="D9" s="13" t="n">
        <f aca="false">B9/(C9/100)</f>
        <v>20097.5664291731</v>
      </c>
      <c r="E9" s="14" t="n">
        <f aca="false">D9/$D$5*100</f>
        <v>101.566561970718</v>
      </c>
      <c r="F9" s="11" t="n">
        <f aca="false">E9/100-1</f>
        <v>0.0156656197071765</v>
      </c>
    </row>
    <row r="10" customFormat="false" ht="15" hidden="false" customHeight="false" outlineLevel="0" collapsed="false">
      <c r="A10" s="7" t="n">
        <v>44348</v>
      </c>
      <c r="B10" s="12" t="n">
        <v>25272</v>
      </c>
      <c r="C10" s="10" t="n">
        <f aca="false">IPC_Mensual!E11</f>
        <v>125.297426873768</v>
      </c>
      <c r="D10" s="13" t="n">
        <f aca="false">B10/(C10/100)</f>
        <v>20169.6081320653</v>
      </c>
      <c r="E10" s="14" t="n">
        <f aca="false">D10/$D$5*100</f>
        <v>101.930637298298</v>
      </c>
      <c r="F10" s="11" t="n">
        <f aca="false">E10/100-1</f>
        <v>0.019306372982985</v>
      </c>
    </row>
    <row r="11" customFormat="false" ht="15" hidden="false" customHeight="false" outlineLevel="0" collapsed="false">
      <c r="A11" s="7" t="n">
        <v>44378</v>
      </c>
      <c r="B11" s="12" t="n">
        <v>27216</v>
      </c>
      <c r="C11" s="10" t="n">
        <f aca="false">IPC_Mensual!E12</f>
        <v>129.056349679981</v>
      </c>
      <c r="D11" s="13" t="n">
        <f aca="false">B11/(C11/100)</f>
        <v>21088.4625727344</v>
      </c>
      <c r="E11" s="14" t="n">
        <f aca="false">D11/$D$5*100</f>
        <v>106.574228691276</v>
      </c>
      <c r="F11" s="11" t="n">
        <f aca="false">E11/100-1</f>
        <v>0.0657422869127551</v>
      </c>
    </row>
    <row r="12" customFormat="false" ht="15" hidden="false" customHeight="false" outlineLevel="0" collapsed="false">
      <c r="A12" s="7" t="n">
        <v>44409</v>
      </c>
      <c r="B12" s="12" t="n">
        <v>28080</v>
      </c>
      <c r="C12" s="10" t="n">
        <f aca="false">IPC_Mensual!E13</f>
        <v>132.244041517076</v>
      </c>
      <c r="D12" s="13" t="n">
        <f aca="false">B12/(C12/100)</f>
        <v>21233.4708451678</v>
      </c>
      <c r="E12" s="14" t="n">
        <f aca="false">D12/$D$5*100</f>
        <v>107.307053321575</v>
      </c>
      <c r="F12" s="11" t="n">
        <f aca="false">E12/100-1</f>
        <v>0.0730705332157469</v>
      </c>
    </row>
    <row r="13" customFormat="false" ht="15" hidden="false" customHeight="false" outlineLevel="0" collapsed="false">
      <c r="A13" s="7" t="n">
        <v>44440</v>
      </c>
      <c r="B13" s="12" t="n">
        <v>31104</v>
      </c>
      <c r="C13" s="10" t="n">
        <f aca="false">IPC_Mensual!E14</f>
        <v>136.938704990933</v>
      </c>
      <c r="D13" s="13" t="n">
        <f aca="false">B13/(C13/100)</f>
        <v>22713.8119949795</v>
      </c>
      <c r="E13" s="14" t="n">
        <f aca="false">D13/$D$5*100</f>
        <v>114.788215862324</v>
      </c>
      <c r="F13" s="11" t="n">
        <f aca="false">E13/100-1</f>
        <v>0.147882158623241</v>
      </c>
    </row>
    <row r="14" customFormat="false" ht="15" hidden="false" customHeight="false" outlineLevel="0" collapsed="false">
      <c r="A14" s="7" t="n">
        <v>44470</v>
      </c>
      <c r="B14" s="12" t="n">
        <v>32000</v>
      </c>
      <c r="C14" s="10" t="n">
        <f aca="false">IPC_Mensual!E15</f>
        <v>141.758947406613</v>
      </c>
      <c r="D14" s="13" t="n">
        <f aca="false">B14/(C14/100)</f>
        <v>22573.5310436618</v>
      </c>
      <c r="E14" s="14" t="n">
        <f aca="false">D14/$D$5*100</f>
        <v>114.079281574905</v>
      </c>
      <c r="F14" s="11" t="n">
        <f aca="false">E14/100-1</f>
        <v>0.14079281574905</v>
      </c>
    </row>
    <row r="15" customFormat="false" ht="15" hidden="false" customHeight="false" outlineLevel="0" collapsed="false">
      <c r="A15" s="7" t="n">
        <v>44501</v>
      </c>
      <c r="B15" s="12" t="n">
        <v>32000</v>
      </c>
      <c r="C15" s="10" t="n">
        <f aca="false">IPC_Mensual!E16</f>
        <v>145.345448776001</v>
      </c>
      <c r="D15" s="13" t="n">
        <f aca="false">B15/(C15/100)</f>
        <v>22016.5132582286</v>
      </c>
      <c r="E15" s="14" t="n">
        <f aca="false">D15/$D$5*100</f>
        <v>111.264294913591</v>
      </c>
      <c r="F15" s="11" t="n">
        <f aca="false">E15/100-1</f>
        <v>0.112642949135911</v>
      </c>
    </row>
    <row r="16" customFormat="false" ht="15" hidden="false" customHeight="false" outlineLevel="0" collapsed="false">
      <c r="A16" s="7" t="n">
        <v>44531</v>
      </c>
      <c r="B16" s="12" t="n">
        <v>32000</v>
      </c>
      <c r="C16" s="10" t="n">
        <f aca="false">IPC_Mensual!E17</f>
        <v>150.926714008999</v>
      </c>
      <c r="D16" s="13" t="n">
        <f aca="false">B16/(C16/100)</f>
        <v>21202.3432764143</v>
      </c>
      <c r="E16" s="14" t="n">
        <f aca="false">D16/$D$5*100</f>
        <v>107.149744716478</v>
      </c>
      <c r="F16" s="11" t="n">
        <f aca="false">E16/100-1</f>
        <v>0.0714974471647836</v>
      </c>
    </row>
    <row r="17" customFormat="false" ht="15" hidden="false" customHeight="false" outlineLevel="0" collapsed="false">
      <c r="A17" s="7" t="n">
        <v>44562</v>
      </c>
      <c r="B17" s="12" t="n">
        <v>32000</v>
      </c>
      <c r="C17" s="10" t="n">
        <f aca="false">IPC_Mensual!E18</f>
        <v>156.782670512548</v>
      </c>
      <c r="D17" s="13" t="n">
        <f aca="false">B17/(C17/100)</f>
        <v>20410.4190184966</v>
      </c>
      <c r="E17" s="14" t="n">
        <f aca="false">D17/$D$5*100</f>
        <v>103.147617170272</v>
      </c>
      <c r="F17" s="11" t="n">
        <f aca="false">E17/100-1</f>
        <v>0.0314761717027183</v>
      </c>
    </row>
    <row r="18" customFormat="false" ht="15" hidden="false" customHeight="false" outlineLevel="0" collapsed="false">
      <c r="A18" s="7" t="n">
        <v>44593</v>
      </c>
      <c r="B18" s="12" t="n">
        <v>33000</v>
      </c>
      <c r="C18" s="10" t="n">
        <f aca="false">IPC_Mensual!E19</f>
        <v>164.135777759587</v>
      </c>
      <c r="D18" s="13" t="n">
        <f aca="false">B18/(C18/100)</f>
        <v>20105.3057721125</v>
      </c>
      <c r="E18" s="14" t="n">
        <f aca="false">D18/$D$5*100</f>
        <v>101.605674091931</v>
      </c>
      <c r="F18" s="11" t="n">
        <f aca="false">E18/100-1</f>
        <v>0.0160567409193124</v>
      </c>
    </row>
    <row r="19" customFormat="false" ht="15" hidden="false" customHeight="false" outlineLevel="0" collapsed="false">
      <c r="A19" s="7" t="n">
        <v>44621</v>
      </c>
      <c r="B19" s="12" t="n">
        <v>33000</v>
      </c>
      <c r="C19" s="10" t="n">
        <f aca="false">IPC_Mensual!E20</f>
        <v>175.182115602807</v>
      </c>
      <c r="D19" s="13" t="n">
        <f aca="false">B19/(C19/100)</f>
        <v>18837.5393723532</v>
      </c>
      <c r="E19" s="14" t="n">
        <f aca="false">D19/$D$5*100</f>
        <v>95.1987951765495</v>
      </c>
      <c r="F19" s="11" t="n">
        <f aca="false">E19/100-1</f>
        <v>-0.0480120482345052</v>
      </c>
    </row>
    <row r="20" customFormat="false" ht="15" hidden="false" customHeight="false" outlineLevel="0" collapsed="false">
      <c r="A20" s="7" t="n">
        <v>44652</v>
      </c>
      <c r="B20" s="12" t="n">
        <v>38940</v>
      </c>
      <c r="C20" s="10" t="n">
        <f aca="false">IPC_Mensual!E21</f>
        <v>185.780633596777</v>
      </c>
      <c r="D20" s="13" t="n">
        <f aca="false">B20/(C20/100)</f>
        <v>20960.2041106806</v>
      </c>
      <c r="E20" s="14" t="n">
        <f aca="false">D20/$D$5*100</f>
        <v>105.926052153068</v>
      </c>
      <c r="F20" s="11" t="n">
        <f aca="false">E20/100-1</f>
        <v>0.0592605215306778</v>
      </c>
    </row>
    <row r="21" customFormat="false" ht="15" hidden="false" customHeight="false" outlineLevel="0" collapsed="false">
      <c r="A21" s="7" t="n">
        <v>44682</v>
      </c>
      <c r="B21" s="12" t="n">
        <v>38940</v>
      </c>
      <c r="C21" s="10" t="n">
        <f aca="false">IPC_Mensual!E22</f>
        <v>195.162555593414</v>
      </c>
      <c r="D21" s="13" t="n">
        <f aca="false">B21/(C21/100)</f>
        <v>19952.5979159263</v>
      </c>
      <c r="E21" s="14" t="n">
        <f aca="false">D21/$D$5*100</f>
        <v>100.833938270412</v>
      </c>
      <c r="F21" s="11" t="n">
        <f aca="false">E21/100-1</f>
        <v>0.00833938270411982</v>
      </c>
    </row>
    <row r="22" customFormat="false" ht="15" hidden="false" customHeight="false" outlineLevel="0" collapsed="false">
      <c r="A22" s="7" t="n">
        <v>44713</v>
      </c>
      <c r="B22" s="12" t="n">
        <v>42240</v>
      </c>
      <c r="C22" s="10" t="n">
        <f aca="false">IPC_Mensual!E23</f>
        <v>205.506171039865</v>
      </c>
      <c r="D22" s="13" t="n">
        <f aca="false">B22/(C22/100)</f>
        <v>20554.1272976207</v>
      </c>
      <c r="E22" s="14" t="n">
        <f aca="false">D22/$D$5*100</f>
        <v>103.87387205734</v>
      </c>
      <c r="F22" s="11" t="n">
        <f aca="false">E22/100-1</f>
        <v>0.0387387205734009</v>
      </c>
    </row>
    <row r="23" customFormat="false" ht="15" hidden="false" customHeight="false" outlineLevel="0" collapsed="false">
      <c r="A23" s="7" t="n">
        <v>44743</v>
      </c>
      <c r="B23" s="12" t="n">
        <v>42240</v>
      </c>
      <c r="C23" s="10" t="n">
        <f aca="false">IPC_Mensual!E24</f>
        <v>220.734178313919</v>
      </c>
      <c r="D23" s="13" t="n">
        <f aca="false">B23/(C23/100)</f>
        <v>19136.1393702828</v>
      </c>
      <c r="E23" s="14" t="n">
        <f aca="false">D23/$D$5*100</f>
        <v>96.7078224162928</v>
      </c>
      <c r="F23" s="11" t="n">
        <f aca="false">E23/100-1</f>
        <v>-0.0329217758370721</v>
      </c>
    </row>
    <row r="24" customFormat="false" ht="15" hidden="false" customHeight="false" outlineLevel="0" collapsed="false">
      <c r="A24" s="7" t="n">
        <v>44774</v>
      </c>
      <c r="B24" s="12" t="n">
        <v>45540</v>
      </c>
      <c r="C24" s="10" t="n">
        <f aca="false">IPC_Mensual!E25</f>
        <v>236.119350542399</v>
      </c>
      <c r="D24" s="13" t="n">
        <f aca="false">B24/(C24/100)</f>
        <v>19286.8563696234</v>
      </c>
      <c r="E24" s="14" t="n">
        <f aca="false">D24/$D$5*100</f>
        <v>97.4694970950413</v>
      </c>
      <c r="F24" s="11" t="n">
        <f aca="false">E24/100-1</f>
        <v>-0.0253050290495872</v>
      </c>
    </row>
    <row r="25" customFormat="false" ht="15" hidden="false" customHeight="false" outlineLevel="0" collapsed="false">
      <c r="A25" s="7" t="n">
        <v>44805</v>
      </c>
      <c r="B25" s="12" t="n">
        <v>51200</v>
      </c>
      <c r="C25" s="10" t="n">
        <f aca="false">IPC_Mensual!E26</f>
        <v>250.687914470865</v>
      </c>
      <c r="D25" s="13" t="n">
        <f aca="false">B25/(C25/100)</f>
        <v>20423.8006878271</v>
      </c>
      <c r="E25" s="14" t="n">
        <f aca="false">D25/$D$5*100</f>
        <v>103.215243773329</v>
      </c>
      <c r="F25" s="11" t="n">
        <f aca="false">E25/100-1</f>
        <v>0.0321524377332949</v>
      </c>
    </row>
    <row r="26" customFormat="false" ht="15" hidden="false" customHeight="false" outlineLevel="0" collapsed="false">
      <c r="A26" s="7" t="n">
        <v>44835</v>
      </c>
      <c r="B26" s="12" t="n">
        <v>54550</v>
      </c>
      <c r="C26" s="10" t="n">
        <f aca="false">IPC_Mensual!E27</f>
        <v>266.606597039765</v>
      </c>
      <c r="D26" s="13" t="n">
        <f aca="false">B26/(C26/100)</f>
        <v>20460.8590356313</v>
      </c>
      <c r="E26" s="14" t="n">
        <f aca="false">D26/$D$5*100</f>
        <v>103.402524606163</v>
      </c>
      <c r="F26" s="11" t="n">
        <f aca="false">E26/100-1</f>
        <v>0.0340252460616337</v>
      </c>
    </row>
    <row r="27" customFormat="false" ht="15" hidden="false" customHeight="false" outlineLevel="0" collapsed="false">
      <c r="A27" s="7" t="n">
        <v>44866</v>
      </c>
      <c r="B27" s="12" t="n">
        <v>57900</v>
      </c>
      <c r="C27" s="10" t="n">
        <f aca="false">IPC_Mensual!E28</f>
        <v>279.723641614121</v>
      </c>
      <c r="D27" s="13" t="n">
        <f aca="false">B27/(C27/100)</f>
        <v>20699.0012234551</v>
      </c>
      <c r="E27" s="14" t="n">
        <f aca="false">D27/$D$5*100</f>
        <v>104.606017743637</v>
      </c>
      <c r="F27" s="11" t="n">
        <f aca="false">E27/100-1</f>
        <v>0.0460601774363743</v>
      </c>
    </row>
    <row r="28" customFormat="false" ht="15" hidden="false" customHeight="false" outlineLevel="0" collapsed="false">
      <c r="A28" s="7" t="n">
        <v>44896</v>
      </c>
      <c r="B28" s="12" t="n">
        <v>61953</v>
      </c>
      <c r="C28" s="10" t="n">
        <f aca="false">IPC_Mensual!E29</f>
        <v>294.045492064764</v>
      </c>
      <c r="D28" s="13" t="n">
        <f aca="false">B28/(C28/100)</f>
        <v>21069.1888404651</v>
      </c>
      <c r="E28" s="14" t="n">
        <f aca="false">D28/$D$5*100</f>
        <v>106.476825519113</v>
      </c>
      <c r="F28" s="11" t="n">
        <f aca="false">E28/100-1</f>
        <v>0.0647682551911342</v>
      </c>
    </row>
    <row r="29" customFormat="false" ht="15" hidden="false" customHeight="false" outlineLevel="0" collapsed="false">
      <c r="A29" s="7" t="n">
        <v>44927</v>
      </c>
      <c r="B29" s="12" t="n">
        <v>65427</v>
      </c>
      <c r="C29" s="10" t="n">
        <f aca="false">IPC_Mensual!E30</f>
        <v>311.77643523627</v>
      </c>
      <c r="D29" s="13" t="n">
        <f aca="false">B29/(C29/100)</f>
        <v>20985.2293520574</v>
      </c>
      <c r="E29" s="14" t="n">
        <f aca="false">D29/$D$5*100</f>
        <v>106.052521581</v>
      </c>
      <c r="F29" s="11" t="n">
        <f aca="false">E29/100-1</f>
        <v>0.060525215810004</v>
      </c>
    </row>
    <row r="30" customFormat="false" ht="15" hidden="false" customHeight="false" outlineLevel="0" collapsed="false">
      <c r="A30" s="7" t="n">
        <v>44958</v>
      </c>
      <c r="B30" s="12" t="n">
        <v>67743</v>
      </c>
      <c r="C30" s="10" t="n">
        <f aca="false">IPC_Mensual!E31</f>
        <v>332.447212892434</v>
      </c>
      <c r="D30" s="13" t="n">
        <f aca="false">B30/(C30/100)</f>
        <v>20377.069613731</v>
      </c>
      <c r="E30" s="14" t="n">
        <f aca="false">D30/$D$5*100</f>
        <v>102.979080128847</v>
      </c>
      <c r="F30" s="11" t="n">
        <f aca="false">E30/100-1</f>
        <v>0.0297908012884724</v>
      </c>
    </row>
    <row r="31" customFormat="false" ht="15" hidden="false" customHeight="false" outlineLevel="0" collapsed="false">
      <c r="A31" s="7" t="n">
        <v>44986</v>
      </c>
      <c r="B31" s="12" t="n">
        <v>69500</v>
      </c>
      <c r="C31" s="10" t="n">
        <f aca="false">IPC_Mensual!E32</f>
        <v>357.979158842573</v>
      </c>
      <c r="D31" s="13" t="n">
        <f aca="false">B31/(C31/100)</f>
        <v>19414.5380487258</v>
      </c>
      <c r="E31" s="14" t="n">
        <f aca="false">D31/$D$5*100</f>
        <v>98.1147587598695</v>
      </c>
      <c r="F31" s="11" t="n">
        <f aca="false">E31/100-1</f>
        <v>-0.0188524124013051</v>
      </c>
    </row>
    <row r="32" customFormat="false" ht="15" hidden="false" customHeight="false" outlineLevel="0" collapsed="false">
      <c r="A32" s="7" t="n">
        <v>45017</v>
      </c>
      <c r="B32" s="12" t="n">
        <v>80342</v>
      </c>
      <c r="C32" s="10" t="n">
        <f aca="false">IPC_Mensual!E33</f>
        <v>388.04940818535</v>
      </c>
      <c r="D32" s="13" t="n">
        <f aca="false">B32/(C32/100)</f>
        <v>20704.0645611873</v>
      </c>
      <c r="E32" s="14" t="n">
        <f aca="false">D32/$D$5*100</f>
        <v>104.631606205174</v>
      </c>
      <c r="F32" s="11" t="n">
        <f aca="false">E32/100-1</f>
        <v>0.0463160620517449</v>
      </c>
    </row>
    <row r="33" customFormat="false" ht="15" hidden="false" customHeight="false" outlineLevel="0" collapsed="false">
      <c r="A33" s="7" t="n">
        <v>45047</v>
      </c>
      <c r="B33" s="12" t="n">
        <v>84512</v>
      </c>
      <c r="C33" s="10" t="n">
        <f aca="false">IPC_Mensual!E34</f>
        <v>418.200847201351</v>
      </c>
      <c r="D33" s="13" t="n">
        <f aca="false">B33/(C33/100)</f>
        <v>20208.4717344702</v>
      </c>
      <c r="E33" s="14" t="n">
        <f aca="false">D33/$D$5*100</f>
        <v>102.127041300543</v>
      </c>
      <c r="F33" s="11" t="n">
        <f aca="false">E33/100-1</f>
        <v>0.0212704130054309</v>
      </c>
    </row>
    <row r="34" customFormat="false" ht="15" hidden="false" customHeight="false" outlineLevel="0" collapsed="false">
      <c r="A34" s="7" t="n">
        <v>45078</v>
      </c>
      <c r="B34" s="12" t="n">
        <v>87987</v>
      </c>
      <c r="C34" s="10" t="n">
        <f aca="false">IPC_Mensual!E35</f>
        <v>443.083797609832</v>
      </c>
      <c r="D34" s="13" t="n">
        <f aca="false">B34/(C34/100)</f>
        <v>19857.8689797814</v>
      </c>
      <c r="E34" s="14" t="n">
        <f aca="false">D34/$D$5*100</f>
        <v>100.355209047285</v>
      </c>
      <c r="F34" s="11" t="n">
        <f aca="false">E34/100-1</f>
        <v>0.00355209047284877</v>
      </c>
    </row>
    <row r="35" customFormat="false" ht="15" hidden="false" customHeight="false" outlineLevel="0" collapsed="false">
      <c r="A35" s="7" t="n">
        <v>45108</v>
      </c>
      <c r="B35" s="12" t="n">
        <v>105500</v>
      </c>
      <c r="C35" s="10" t="n">
        <f aca="false">IPC_Mensual!E36</f>
        <v>471.175310378295</v>
      </c>
      <c r="D35" s="13" t="n">
        <f aca="false">B35/(C35/100)</f>
        <v>22390.8166824991</v>
      </c>
      <c r="E35" s="14" t="n">
        <f aca="false">D35/$D$5*100</f>
        <v>113.15590263988</v>
      </c>
      <c r="F35" s="11" t="n">
        <f aca="false">E35/100-1</f>
        <v>0.131559026398797</v>
      </c>
    </row>
    <row r="36" customFormat="false" ht="15" hidden="false" customHeight="false" outlineLevel="0" collapsed="false">
      <c r="A36" s="7" t="n">
        <v>45139</v>
      </c>
      <c r="B36" s="12" t="n">
        <v>112500</v>
      </c>
      <c r="C36" s="10" t="n">
        <f aca="false">IPC_Mensual!E37</f>
        <v>529.789518989355</v>
      </c>
      <c r="D36" s="13" t="n">
        <f aca="false">B36/(C36/100)</f>
        <v>21234.8481741596</v>
      </c>
      <c r="E36" s="14" t="n">
        <f aca="false">D36/$D$5*100</f>
        <v>107.314013894184</v>
      </c>
      <c r="F36" s="11" t="n">
        <f aca="false">E36/100-1</f>
        <v>0.0731401389418402</v>
      </c>
    </row>
    <row r="37" customFormat="false" ht="15" hidden="false" customHeight="false" outlineLevel="0" collapsed="false">
      <c r="A37" s="7" t="n">
        <v>45170</v>
      </c>
      <c r="B37" s="12" t="n">
        <v>118000</v>
      </c>
      <c r="C37" s="10" t="n">
        <f aca="false">IPC_Mensual!E38</f>
        <v>597.337682660497</v>
      </c>
      <c r="D37" s="13" t="n">
        <f aca="false">B37/(C37/100)</f>
        <v>19754.3204497725</v>
      </c>
      <c r="E37" s="14" t="n">
        <f aca="false">D37/$D$5*100</f>
        <v>99.8319084662328</v>
      </c>
      <c r="F37" s="11" t="n">
        <f aca="false">E37/100-1</f>
        <v>-0.00168091533767201</v>
      </c>
    </row>
    <row r="38" customFormat="false" ht="15" hidden="false" customHeight="false" outlineLevel="0" collapsed="false">
      <c r="A38" s="7" t="n">
        <v>45200</v>
      </c>
      <c r="B38" s="12" t="n">
        <v>132000</v>
      </c>
      <c r="C38" s="10" t="n">
        <f aca="false">IPC_Mensual!E39</f>
        <v>646.916710321319</v>
      </c>
      <c r="D38" s="13" t="n">
        <f aca="false">B38/(C38/100)</f>
        <v>20404.4814261231</v>
      </c>
      <c r="E38" s="14" t="n">
        <f aca="false">D38/$D$5*100</f>
        <v>103.117610510217</v>
      </c>
      <c r="F38" s="11" t="n">
        <f aca="false">E38/100-1</f>
        <v>0.0311761051021746</v>
      </c>
    </row>
    <row r="39" customFormat="false" ht="15" hidden="false" customHeight="false" outlineLevel="0" collapsed="false">
      <c r="A39" s="7" t="n">
        <v>45231</v>
      </c>
      <c r="B39" s="12" t="n">
        <v>146000</v>
      </c>
      <c r="C39" s="10" t="n">
        <f aca="false">IPC_Mensual!E40</f>
        <v>729.786740913479</v>
      </c>
      <c r="D39" s="13" t="n">
        <f aca="false">B39/(C39/100)</f>
        <v>20005.8444220637</v>
      </c>
      <c r="E39" s="14" t="n">
        <f aca="false">D39/$D$5*100</f>
        <v>101.103028788629</v>
      </c>
      <c r="F39" s="11" t="n">
        <f aca="false">E39/100-1</f>
        <v>0.0110302878862927</v>
      </c>
    </row>
    <row r="40" customFormat="false" ht="15" hidden="false" customHeight="false" outlineLevel="0" collapsed="false">
      <c r="A40" s="7" t="n">
        <v>45261</v>
      </c>
      <c r="B40" s="12" t="n">
        <v>156000</v>
      </c>
      <c r="C40" s="10" t="n">
        <f aca="false">IPC_Mensual!E41</f>
        <v>915.663423824143</v>
      </c>
      <c r="D40" s="13" t="n">
        <f aca="false">B40/(C40/100)</f>
        <v>17036.8277186925</v>
      </c>
      <c r="E40" s="14" t="n">
        <f aca="false">D40/$D$5*100</f>
        <v>86.0985843421948</v>
      </c>
      <c r="F40" s="11" t="n">
        <f aca="false">E40/100-1</f>
        <v>-0.139014156578052</v>
      </c>
    </row>
    <row r="41" customFormat="false" ht="15" hidden="false" customHeight="false" outlineLevel="0" collapsed="false">
      <c r="A41" s="7" t="n">
        <v>45292</v>
      </c>
      <c r="B41" s="12" t="n">
        <v>156000</v>
      </c>
      <c r="C41" s="10" t="n">
        <f aca="false">IPC_Mensual!E42</f>
        <v>1104.3816554743</v>
      </c>
      <c r="D41" s="13" t="n">
        <f aca="false">B41/(C41/100)</f>
        <v>14125.5515452222</v>
      </c>
      <c r="E41" s="14" t="n">
        <f aca="false">D41/$D$5*100</f>
        <v>71.3859417479436</v>
      </c>
      <c r="F41" s="11" t="n">
        <f aca="false">E41/100-1</f>
        <v>-0.286140582520564</v>
      </c>
    </row>
    <row r="42" customFormat="false" ht="15" hidden="false" customHeight="false" outlineLevel="0" collapsed="false">
      <c r="A42" s="7" t="n">
        <v>45323</v>
      </c>
      <c r="B42" s="12" t="n">
        <v>180000</v>
      </c>
      <c r="C42" s="10" t="n">
        <f aca="false">IPC_Mensual!E43</f>
        <v>1250.6017866591</v>
      </c>
      <c r="D42" s="13" t="n">
        <f aca="false">B42/(C42/100)</f>
        <v>14393.0707536296</v>
      </c>
      <c r="E42" s="14" t="n">
        <f aca="false">D42/$D$5*100</f>
        <v>72.7378967896064</v>
      </c>
      <c r="F42" s="11" t="n">
        <f aca="false">E42/100-1</f>
        <v>-0.272621032103936</v>
      </c>
    </row>
    <row r="43" customFormat="false" ht="15" hidden="false" customHeight="false" outlineLevel="0" collapsed="false">
      <c r="A43" s="7" t="n">
        <v>45352</v>
      </c>
      <c r="B43" s="12" t="n">
        <v>202800</v>
      </c>
      <c r="C43" s="10" t="n">
        <f aca="false">IPC_Mensual!E44</f>
        <v>1388.29304337026</v>
      </c>
      <c r="D43" s="13" t="n">
        <f aca="false">B43/(C43/100)</f>
        <v>14607.8669030622</v>
      </c>
      <c r="E43" s="14" t="n">
        <f aca="false">D43/$D$5*100</f>
        <v>73.8234066447076</v>
      </c>
      <c r="F43" s="11" t="n">
        <f aca="false">E43/100-1</f>
        <v>-0.261765933552924</v>
      </c>
    </row>
    <row r="44" customFormat="false" ht="15" hidden="false" customHeight="false" outlineLevel="0" collapsed="false">
      <c r="A44" s="7" t="n">
        <v>45383</v>
      </c>
      <c r="B44" s="12" t="n">
        <v>221052</v>
      </c>
      <c r="C44" s="10" t="n">
        <f aca="false">IPC_Mensual!E45</f>
        <v>1510.87931909986</v>
      </c>
      <c r="D44" s="13" t="n">
        <f aca="false">B44/(C44/100)</f>
        <v>14630.6854032324</v>
      </c>
      <c r="E44" s="14" t="n">
        <f aca="false">D44/$D$5*100</f>
        <v>73.938723920547</v>
      </c>
      <c r="F44" s="11" t="n">
        <f aca="false">E44/100-1</f>
        <v>-0.26061276079453</v>
      </c>
    </row>
    <row r="45" customFormat="false" ht="15" hidden="false" customHeight="false" outlineLevel="0" collapsed="false">
      <c r="A45" s="7" t="n">
        <v>45413</v>
      </c>
      <c r="B45" s="12" t="n">
        <v>234315</v>
      </c>
      <c r="C45" s="10" t="n">
        <f aca="false">IPC_Mensual!E46</f>
        <v>1574.03407463823</v>
      </c>
      <c r="D45" s="13" t="n">
        <f aca="false">B45/(C45/100)</f>
        <v>14886.2723987633</v>
      </c>
      <c r="E45" s="14" t="n">
        <f aca="false">D45/$D$5*100</f>
        <v>75.2303774404883</v>
      </c>
      <c r="F45" s="11" t="n">
        <f aca="false">E45/100-1</f>
        <v>-0.247696225595117</v>
      </c>
    </row>
    <row r="46" customFormat="false" ht="15" hidden="false" customHeight="false" outlineLevel="0" collapsed="false">
      <c r="A46" s="7" t="n">
        <v>45444</v>
      </c>
      <c r="B46" s="12" t="n">
        <v>234315</v>
      </c>
      <c r="C46" s="10" t="n">
        <f aca="false">IPC_Mensual!E47</f>
        <v>1646.12483525666</v>
      </c>
      <c r="D46" s="13" t="n">
        <f aca="false">B46/(C46/100)</f>
        <v>14234.3396431089</v>
      </c>
      <c r="E46" s="14" t="n">
        <f aca="false">D46/$D$5*100</f>
        <v>71.9357214003522</v>
      </c>
      <c r="F46" s="11" t="n">
        <f aca="false">E46/100-1</f>
        <v>-0.280642785996478</v>
      </c>
    </row>
    <row r="47" customFormat="false" ht="15" hidden="false" customHeight="false" outlineLevel="0" collapsed="false">
      <c r="A47" s="7" t="n">
        <v>45474</v>
      </c>
      <c r="B47" s="12" t="n">
        <v>254231.91</v>
      </c>
      <c r="C47" s="10" t="n">
        <f aca="false">IPC_Mensual!E48</f>
        <v>1712.4636661175</v>
      </c>
      <c r="D47" s="13" t="n">
        <f aca="false">B47/(C47/100)</f>
        <v>14845.9739631378</v>
      </c>
      <c r="E47" s="14" t="n">
        <f aca="false">D47/$D$5*100</f>
        <v>75.0267222579714</v>
      </c>
      <c r="F47" s="11" t="n">
        <f aca="false">E47/100-1</f>
        <v>-0.249732777420286</v>
      </c>
    </row>
    <row r="48" customFormat="false" ht="15" hidden="false" customHeight="false" outlineLevel="0" collapsed="false">
      <c r="A48" s="7" t="n">
        <v>45505</v>
      </c>
      <c r="B48" s="12" t="n">
        <v>262432.93</v>
      </c>
      <c r="C48" s="10" t="n">
        <f aca="false">IPC_Mensual!E49</f>
        <v>1783.8734009946</v>
      </c>
      <c r="D48" s="13" t="n">
        <f aca="false">B48/(C48/100)</f>
        <v>14711.4100055351</v>
      </c>
      <c r="E48" s="14" t="n">
        <f aca="false">D48/$D$5*100</f>
        <v>74.3466797967588</v>
      </c>
      <c r="F48" s="11" t="n">
        <f aca="false">E48/100-1</f>
        <v>-0.256533202032412</v>
      </c>
    </row>
    <row r="49" customFormat="false" ht="15" hidden="false" customHeight="false" outlineLevel="0" collapsed="false">
      <c r="A49" s="7" t="n">
        <v>45536</v>
      </c>
      <c r="B49" s="12" t="n">
        <v>268056.5</v>
      </c>
      <c r="C49" s="10" t="n">
        <f aca="false">IPC_Mensual!E50</f>
        <v>1845.77380800912</v>
      </c>
      <c r="D49" s="13" t="n">
        <f aca="false">B49/(C49/100)</f>
        <v>14522.7166425734</v>
      </c>
      <c r="E49" s="14" t="n">
        <f aca="false">D49/$D$5*100</f>
        <v>73.3930849319149</v>
      </c>
      <c r="F49" s="11" t="n">
        <f aca="false">E49/100-1</f>
        <v>-0.266069150680851</v>
      </c>
    </row>
    <row r="50" customFormat="false" ht="15" hidden="false" customHeight="false" outlineLevel="0" collapsed="false">
      <c r="A50" s="7" t="n">
        <v>45566</v>
      </c>
      <c r="B50" s="12" t="n">
        <v>271571.22</v>
      </c>
      <c r="C50" s="10" t="n">
        <f aca="false">IPC_Mensual!E51</f>
        <v>1895.42512344456</v>
      </c>
      <c r="D50" s="13" t="n">
        <f aca="false">B50/(C50/100)</f>
        <v>14327.7208179278</v>
      </c>
      <c r="E50" s="14" t="n">
        <f aca="false">D50/$D$5*100</f>
        <v>72.4076394762329</v>
      </c>
      <c r="F50" s="11" t="n">
        <f aca="false">E50/100-1</f>
        <v>-0.275923605237671</v>
      </c>
    </row>
    <row r="51" customFormat="false" ht="15" hidden="false" customHeight="false" outlineLevel="0" collapsed="false">
      <c r="A51" s="7" t="n">
        <v>45597</v>
      </c>
      <c r="B51" s="12" t="n">
        <v>271571.22</v>
      </c>
      <c r="C51" s="10" t="n">
        <f aca="false">IPC_Mensual!E52</f>
        <v>1941.48395394427</v>
      </c>
      <c r="D51" s="13" t="n">
        <f aca="false">B51/(C51/100)</f>
        <v>13987.8168680345</v>
      </c>
      <c r="E51" s="14" t="n">
        <f aca="false">D51/$D$5*100</f>
        <v>70.6898755015453</v>
      </c>
      <c r="F51" s="11" t="n">
        <f aca="false">E51/100-1</f>
        <v>-0.293101244984547</v>
      </c>
    </row>
    <row r="52" customFormat="false" ht="15" hidden="false" customHeight="false" outlineLevel="0" collapsed="false">
      <c r="A52" s="7" t="n">
        <v>45627</v>
      </c>
      <c r="B52" s="12" t="n">
        <v>279718</v>
      </c>
      <c r="C52" s="10" t="n">
        <f aca="false">IPC_Mensual!E53</f>
        <v>1993.90402070076</v>
      </c>
      <c r="D52" s="13" t="n">
        <f aca="false">B52/(C52/100)</f>
        <v>14028.6592080642</v>
      </c>
      <c r="E52" s="14" t="n">
        <f aca="false">D52/$D$5*100</f>
        <v>70.8962793999612</v>
      </c>
      <c r="F52" s="11" t="n">
        <f aca="false">E52/100-1</f>
        <v>-0.291037206000388</v>
      </c>
    </row>
    <row r="53" customFormat="false" ht="15" hidden="false" customHeight="false" outlineLevel="0" collapsed="false">
      <c r="A53" s="7" t="n">
        <v>45658</v>
      </c>
      <c r="B53" s="12" t="n">
        <v>286711</v>
      </c>
      <c r="C53" s="10" t="n">
        <f aca="false">IPC_Mensual!E54</f>
        <v>2037.96929955825</v>
      </c>
      <c r="D53" s="13" t="n">
        <f aca="false">B53/(C53/100)</f>
        <v>14068.4651168272</v>
      </c>
      <c r="E53" s="14" t="n">
        <f aca="false">D53/$D$5*100</f>
        <v>71.0974455119592</v>
      </c>
      <c r="F53" s="11" t="n">
        <f aca="false">E53/100-1</f>
        <v>-0.289025544880408</v>
      </c>
    </row>
    <row r="54" customFormat="false" ht="15" hidden="false" customHeight="false" outlineLevel="0" collapsed="false">
      <c r="A54" s="7" t="n">
        <v>45689</v>
      </c>
      <c r="B54" s="12" t="n">
        <v>292446</v>
      </c>
      <c r="C54" s="10" t="n">
        <f aca="false">IPC_Mensual!E55</f>
        <v>2086.88056274765</v>
      </c>
      <c r="D54" s="13" t="n">
        <f aca="false">B54/(C54/100)</f>
        <v>14013.547551325</v>
      </c>
      <c r="E54" s="14" t="n">
        <f aca="false">D54/$D$5*100</f>
        <v>70.819910003393</v>
      </c>
      <c r="F54" s="11" t="n">
        <f aca="false">E54/100-1</f>
        <v>-0.29180089996607</v>
      </c>
    </row>
    <row r="55" customFormat="false" ht="15" hidden="false" customHeight="false" outlineLevel="0" collapsed="false">
      <c r="A55" s="7" t="n">
        <v>45717</v>
      </c>
      <c r="B55" s="12" t="n">
        <v>296832</v>
      </c>
      <c r="C55" s="10" t="n">
        <f aca="false">IPC_Mensual!E56</f>
        <v>2164.72120773813</v>
      </c>
      <c r="D55" s="13" t="n">
        <f aca="false">B55/(C55/100)</f>
        <v>13712.2507479914</v>
      </c>
      <c r="E55" s="14" t="n">
        <f aca="false">D55/$D$5*100</f>
        <v>69.297253986546</v>
      </c>
      <c r="F55" s="11" t="n">
        <f aca="false">E55/100-1</f>
        <v>-0.30702746013454</v>
      </c>
    </row>
    <row r="56" customFormat="false" ht="15" hidden="false" customHeight="false" outlineLevel="0" collapsed="false">
      <c r="A56" s="7" t="n">
        <v>45748</v>
      </c>
      <c r="B56" s="12" t="n">
        <v>302600</v>
      </c>
      <c r="C56" s="10" t="n">
        <f aca="false">IPC_Mensual!E57</f>
        <v>2224.90045731325</v>
      </c>
      <c r="D56" s="13" t="n">
        <f aca="false">B56/(C56/100)</f>
        <v>13600.6084679138</v>
      </c>
      <c r="E56" s="14" t="n">
        <f aca="false">D56/$D$5*100</f>
        <v>68.733050225956</v>
      </c>
      <c r="F56" s="11" t="n">
        <f aca="false">E56/100-1</f>
        <v>-0.31266949774044</v>
      </c>
    </row>
    <row r="57" customFormat="false" ht="15" hidden="false" customHeight="false" outlineLevel="0" collapsed="false">
      <c r="A57" s="7" t="n">
        <v>45778</v>
      </c>
      <c r="B57" s="12" t="n">
        <v>308200</v>
      </c>
      <c r="C57" s="10" t="n">
        <f aca="false">IPC_Mensual!E58</f>
        <v>2258.27396417295</v>
      </c>
      <c r="D57" s="13" t="n">
        <f aca="false">B57/(C57/100)</f>
        <v>13647.5912528563</v>
      </c>
      <c r="E57" s="14" t="n">
        <f aca="false">D57/$D$5*100</f>
        <v>68.9704859351617</v>
      </c>
      <c r="F57" s="11" t="n">
        <f aca="false">E57/100-1</f>
        <v>-0.310295140648383</v>
      </c>
    </row>
    <row r="58" customFormat="false" ht="15" hidden="false" customHeight="false" outlineLevel="0" collapsed="false">
      <c r="A58" s="7" t="n">
        <v>45809</v>
      </c>
      <c r="B58" s="12" t="n">
        <v>313400</v>
      </c>
      <c r="C58" s="10" t="n">
        <f aca="false">IPC_Mensual!E59</f>
        <v>2294.85800239255</v>
      </c>
      <c r="D58" s="13" t="n">
        <f aca="false">B58/(C58/100)</f>
        <v>13656.6183909095</v>
      </c>
      <c r="E58" s="14" t="n">
        <f aca="false">D58/$D$5*100</f>
        <v>69.0161061538945</v>
      </c>
      <c r="F58" s="11" t="n">
        <f aca="false">E58/100-1</f>
        <v>-0.309838938461056</v>
      </c>
    </row>
    <row r="59" customFormat="false" ht="15" hidden="false" customHeight="false" outlineLevel="0" collapsed="false">
      <c r="A59" s="7" t="n">
        <v>45839</v>
      </c>
      <c r="B59" s="12" t="n">
        <v>317800</v>
      </c>
      <c r="C59" s="10" t="n">
        <f aca="false">IPC_Mensual!E60</f>
        <v>2338.46030443801</v>
      </c>
      <c r="D59" s="13" t="n">
        <f aca="false">B59/(C59/100)</f>
        <v>13590.1387505646</v>
      </c>
      <c r="E59" s="14" t="n">
        <f aca="false">D59/$D$5*100</f>
        <v>68.6801396808052</v>
      </c>
      <c r="F59" s="11" t="n">
        <f aca="false">E59/100-1</f>
        <v>-0.313198603191948</v>
      </c>
    </row>
    <row r="60" customFormat="false" ht="15" hidden="false" customHeight="false" outlineLevel="0" collapsed="false">
      <c r="A60" s="7" t="n">
        <v>45870</v>
      </c>
      <c r="B60" s="12" t="n">
        <v>322000</v>
      </c>
      <c r="C60" s="10" t="n">
        <f aca="false">IPC_Mensual!E61</f>
        <v>2382.42335816145</v>
      </c>
      <c r="D60" s="13" t="n">
        <f aca="false">B60/(C60/100)</f>
        <v>13515.649890559</v>
      </c>
      <c r="E60" s="14" t="n">
        <f aca="false">D60/$D$5*100</f>
        <v>68.3036972173586</v>
      </c>
      <c r="F60" s="11" t="n">
        <f aca="false">E60/100-1</f>
        <v>-0.316963027826415</v>
      </c>
    </row>
    <row r="61" customFormat="false" ht="15" hidden="false" customHeight="false" outlineLevel="0" collapsed="false">
      <c r="A61" s="7" t="n">
        <v>45901</v>
      </c>
      <c r="B61" s="12" t="n">
        <v>322000</v>
      </c>
      <c r="C61" s="10" t="n">
        <f aca="false">IPC_Mensual!E62</f>
        <v>2431.9777640112</v>
      </c>
      <c r="D61" s="13" t="n">
        <f aca="false">B61/(C61/100)</f>
        <v>13240.2526357357</v>
      </c>
      <c r="E61" s="14" t="n">
        <f aca="false">D61/$D$5*100</f>
        <v>66.91192909224</v>
      </c>
      <c r="F61" s="11" t="n">
        <f aca="false">E61/100-1</f>
        <v>-0.3308807090776</v>
      </c>
    </row>
    <row r="62" customFormat="false" ht="15" hidden="false" customHeight="false" outlineLevel="0" collapsed="false">
      <c r="A62" s="7" t="n">
        <v>45931</v>
      </c>
      <c r="B62" s="12" t="n">
        <v>322000</v>
      </c>
      <c r="C62" s="10" t="n">
        <f aca="false">IPC_Mensual!E63</f>
        <v>2488.88604368907</v>
      </c>
      <c r="D62" s="13" t="n">
        <f aca="false">B62/(C62/100)</f>
        <v>12937.5147896577</v>
      </c>
      <c r="E62" s="14" t="n">
        <f aca="false">D62/$D$5*100</f>
        <v>65.3819905142075</v>
      </c>
      <c r="F62" s="11" t="n">
        <f aca="false">E62/100-1</f>
        <v>-0.346180094857925</v>
      </c>
    </row>
    <row r="63" customFormat="false" ht="15" hidden="false" customHeight="false" outlineLevel="0" collapsed="false">
      <c r="A63" s="7" t="n">
        <v>45962</v>
      </c>
      <c r="B63" s="12" t="n">
        <v>328400</v>
      </c>
      <c r="C63" s="10" t="n">
        <f aca="false">IPC_Mensual!E64</f>
        <v>2550.36152896819</v>
      </c>
      <c r="D63" s="13" t="n">
        <f aca="false">B63/(C63/100)</f>
        <v>12876.605778039</v>
      </c>
      <c r="E63" s="14" t="n">
        <f aca="false">D63/$D$5*100</f>
        <v>65.074176186291</v>
      </c>
      <c r="F63" s="11" t="n">
        <f aca="false">E63/100-1</f>
        <v>-0.34925823813709</v>
      </c>
    </row>
    <row r="64" customFormat="false" ht="15" hidden="false" customHeight="false" outlineLevel="0" collapsed="false">
      <c r="A64" s="7" t="n">
        <v>45992</v>
      </c>
      <c r="B64" s="12" t="n">
        <v>334800</v>
      </c>
      <c r="C64" s="10" t="n">
        <f aca="false">IPC_Mensual!E65</f>
        <v>2623.04683254378</v>
      </c>
      <c r="D64" s="13" t="n">
        <f aca="false">B64/(C64/100)</f>
        <v>12763.7827829142</v>
      </c>
      <c r="E64" s="14" t="n">
        <f aca="false">D64/$D$5*100</f>
        <v>64.5040054759993</v>
      </c>
      <c r="F64" s="11" t="n">
        <f aca="false">E64/100-1</f>
        <v>-0.354959945240007</v>
      </c>
    </row>
    <row r="65" customFormat="false" ht="15" hidden="false" customHeight="false" outlineLevel="0" collapsed="false">
      <c r="A65" s="7" t="n">
        <v>46023</v>
      </c>
      <c r="B65" s="12" t="n">
        <v>341000</v>
      </c>
      <c r="C65" s="10" t="n">
        <f aca="false">IPC_Mensual!E66</f>
        <v>2698.59058132104</v>
      </c>
      <c r="D65" s="13" t="n">
        <f aca="false">B65/(C65/100)</f>
        <v>12636.2258269304</v>
      </c>
      <c r="E65" s="14" t="n">
        <f aca="false">D65/$D$5*100</f>
        <v>63.8593741212337</v>
      </c>
      <c r="F65" s="11" t="n">
        <f aca="false">E65/100-1</f>
        <v>-0.361406258787664</v>
      </c>
    </row>
    <row r="66" customFormat="false" ht="15" hidden="false" customHeight="false" outlineLevel="0" collapsed="false">
      <c r="A66" s="7" t="n">
        <v>46054</v>
      </c>
      <c r="B66" s="12" t="n">
        <v>346800</v>
      </c>
      <c r="C66" s="10" t="n">
        <f aca="false">IPC_Mensual!E67</f>
        <v>2776.84970817935</v>
      </c>
      <c r="D66" s="13" t="n">
        <f aca="false">B66/(C66/100)</f>
        <v>12488.9726288925</v>
      </c>
      <c r="E66" s="14" t="n">
        <f aca="false">D66/$D$5*100</f>
        <v>63.1152043673179</v>
      </c>
      <c r="F66" s="11" t="n">
        <f aca="false">E66/100-1</f>
        <v>-0.368847956326821</v>
      </c>
    </row>
    <row r="67" customFormat="false" ht="15" hidden="false" customHeight="false" outlineLevel="0" collapsed="false">
      <c r="A67" s="7" t="n">
        <v>46082</v>
      </c>
      <c r="B67" s="12" t="n">
        <v>352400</v>
      </c>
      <c r="C67" s="10" t="n">
        <f aca="false">IPC_Mensual!E68</f>
        <v>2870.70722831581</v>
      </c>
      <c r="D67" s="13" t="n">
        <f aca="false">B67/(C67/100)</f>
        <v>12275.7206490453</v>
      </c>
      <c r="E67" s="14" t="n">
        <f aca="false">D67/$D$5*100</f>
        <v>62.0374982429044</v>
      </c>
      <c r="F67" s="11" t="n">
        <f aca="false">E67/100-1</f>
        <v>-0.379625017570956</v>
      </c>
    </row>
    <row r="68" customFormat="false" ht="15" hidden="false" customHeight="false" outlineLevel="0" collapsed="false">
      <c r="A68" s="7" t="n">
        <v>46113</v>
      </c>
      <c r="B68" s="12" t="n">
        <v>357800</v>
      </c>
      <c r="C68" s="10" t="n">
        <f aca="false">IPC_Mensual!E69</f>
        <v>2944.77147480636</v>
      </c>
      <c r="D68" s="13" t="n">
        <f aca="false">B68/(C68/100)</f>
        <v>12150.3486114666</v>
      </c>
      <c r="E68" s="14" t="n">
        <f aca="false">D68/$D$5*100</f>
        <v>61.4039087548933</v>
      </c>
      <c r="F68" s="11" t="n">
        <f aca="false">E68/100-1</f>
        <v>-0.385960912451067</v>
      </c>
    </row>
    <row r="69" customFormat="false" ht="15" hidden="false" customHeight="false" outlineLevel="0" collapsed="false">
      <c r="A69" s="7" t="n">
        <v>46143</v>
      </c>
      <c r="B69" s="12" t="n">
        <v>363000</v>
      </c>
      <c r="C69" s="10" t="n">
        <f aca="false">IPC_Mensual!E70</f>
        <v>3008.0840615147</v>
      </c>
      <c r="D69" s="13" t="n">
        <f aca="false">B69/(C69/100)</f>
        <v>12067.4819113005</v>
      </c>
      <c r="E69" s="14" t="n">
        <f aca="false">D69/$D$5*100</f>
        <v>60.9851274130134</v>
      </c>
      <c r="F69" s="11" t="n">
        <f aca="false">E69/100-1</f>
        <v>-0.390148725869867</v>
      </c>
    </row>
    <row r="70" customFormat="false" ht="15" hidden="false" customHeight="false" outlineLevel="0" collapsed="false">
      <c r="A70" s="7" t="n">
        <v>46174</v>
      </c>
      <c r="B70" s="12" t="n">
        <v>367800</v>
      </c>
      <c r="C70" s="10" t="n">
        <f aca="false">IPC_Mensual!E71</f>
        <v>3064.93685027732</v>
      </c>
      <c r="D70" s="13" t="n">
        <f aca="false">B70/(C70/100)</f>
        <v>12000.2472470753</v>
      </c>
      <c r="E70" s="14" t="n">
        <f aca="false">D70/$D$5*100</f>
        <v>60.6453452948808</v>
      </c>
      <c r="F70" s="11" t="n">
        <f aca="false">E70/100-1</f>
        <v>-0.393546547051192</v>
      </c>
    </row>
    <row r="71" customFormat="false" ht="15" hidden="false" customHeight="false" outlineLevel="0" collapsed="false">
      <c r="A71" s="7" t="n">
        <v>46204</v>
      </c>
      <c r="B71" s="12" t="n">
        <v>372400</v>
      </c>
      <c r="C71" s="10" t="n">
        <f aca="false">IPC_Mensual!E72</f>
        <v>3129.60701781818</v>
      </c>
      <c r="D71" s="13" t="n">
        <f aca="false">B71/(C71/100)</f>
        <v>11899.2575706716</v>
      </c>
      <c r="E71" s="14" t="n">
        <f aca="false">D71/$D$5*100</f>
        <v>60.1349763274239</v>
      </c>
      <c r="F71" s="11" t="n">
        <f aca="false">E71/100-1</f>
        <v>-0.398650236725761</v>
      </c>
    </row>
    <row r="72" customFormat="false" ht="15" hidden="false" customHeight="false" outlineLevel="0" collapsed="false">
      <c r="A72" s="7" t="n">
        <v>46235</v>
      </c>
      <c r="B72" s="12" t="n">
        <v>376600</v>
      </c>
      <c r="C72" s="10" t="n">
        <f aca="false">IPC_Mensual!E73</f>
        <v>3181.55849431396</v>
      </c>
      <c r="D72" s="13" t="n">
        <f aca="false">B72/(C72/100)</f>
        <v>11836.9660866853</v>
      </c>
      <c r="E72" s="14" t="n">
        <f aca="false">D72/$D$5*100</f>
        <v>59.8201754339507</v>
      </c>
      <c r="F72" s="11" t="n">
        <f aca="false">E72/100-1</f>
        <v>-0.401798245660493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31</v>
      </c>
    </row>
    <row r="3" customFormat="false" ht="31.5" hidden="false" customHeight="true" outlineLevel="0" collapsed="false">
      <c r="A3" s="3" t="s">
        <v>3</v>
      </c>
      <c r="B3" s="3" t="s">
        <v>32</v>
      </c>
      <c r="C3" s="3" t="s">
        <v>33</v>
      </c>
      <c r="D3" s="3" t="s">
        <v>34</v>
      </c>
    </row>
    <row r="4" customFormat="false" ht="15" hidden="false" customHeight="false" outlineLevel="0" collapsed="false">
      <c r="A4" s="4" t="n">
        <v>2021</v>
      </c>
      <c r="B4" s="11" t="n">
        <f aca="false">IPC_Mensual!E17/IPC_Mensual!E5-1</f>
        <v>0.509267140089991</v>
      </c>
      <c r="C4" s="13" t="n">
        <f aca="false">AVERAGEIFS(SMVM_Real!$D$5:$D$72,SMVM_Real!$A$5:$A$72,"&gt;="&amp;DATE(A4,1,1),SMVM_Real!$A$5:$A$72,"&lt;="&amp;DATE(A4,12,1))</f>
        <v>20761.9870536615</v>
      </c>
      <c r="D4" s="11" t="s">
        <v>11</v>
      </c>
    </row>
    <row r="5" customFormat="false" ht="15" hidden="false" customHeight="false" outlineLevel="0" collapsed="false">
      <c r="A5" s="4" t="n">
        <v>2022</v>
      </c>
      <c r="B5" s="11" t="n">
        <f aca="false">IPC_Mensual!E29/IPC_Mensual!E17-1</f>
        <v>0.948266706762275</v>
      </c>
      <c r="C5" s="13" t="n">
        <f aca="false">AVERAGEIFS(SMVM_Real!$D$5:$D$72,SMVM_Real!$A$5:$A$72,"&gt;="&amp;DATE(A5,1,1),SMVM_Real!$A$5:$A$72,"&lt;="&amp;DATE(A5,12,1))</f>
        <v>20158.0032512062</v>
      </c>
      <c r="D5" s="11" t="n">
        <f aca="false">C5/C4-1</f>
        <v>-0.0290908476579933</v>
      </c>
    </row>
    <row r="6" customFormat="false" ht="15" hidden="false" customHeight="false" outlineLevel="0" collapsed="false">
      <c r="A6" s="4" t="n">
        <v>2023</v>
      </c>
      <c r="B6" s="11" t="n">
        <f aca="false">IPC_Mensual!E41/IPC_Mensual!E29-1</f>
        <v>2.11401959402413</v>
      </c>
      <c r="C6" s="13" t="n">
        <f aca="false">AVERAGEIFS(SMVM_Real!$D$5:$D$72,SMVM_Real!$A$5:$A$72,"&gt;="&amp;DATE(A6,1,1),SMVM_Real!$A$5:$A$72,"&lt;="&amp;DATE(A6,12,1))</f>
        <v>20197.8650969386</v>
      </c>
      <c r="D6" s="11" t="n">
        <f aca="false">C6/C5-1</f>
        <v>0.00197746995253767</v>
      </c>
    </row>
    <row r="7" customFormat="false" ht="15" hidden="false" customHeight="false" outlineLevel="0" collapsed="false">
      <c r="A7" s="4" t="n">
        <v>2024</v>
      </c>
      <c r="B7" s="11" t="n">
        <f aca="false">IPC_Mensual!E53/IPC_Mensual!E41-1</f>
        <v>1.17755123642866</v>
      </c>
      <c r="C7" s="13" t="n">
        <f aca="false">AVERAGEIFS(SMVM_Real!$D$5:$D$72,SMVM_Real!$A$5:$A$72,"&gt;="&amp;DATE(A7,1,1),SMVM_Real!$A$5:$A$72,"&lt;="&amp;DATE(A7,12,1))</f>
        <v>14441.8403460243</v>
      </c>
      <c r="D7" s="11" t="n">
        <f aca="false">C7/C6-1</f>
        <v>-0.284981839580005</v>
      </c>
    </row>
    <row r="8" customFormat="false" ht="15" hidden="false" customHeight="false" outlineLevel="0" collapsed="false">
      <c r="A8" s="4" t="n">
        <v>2025</v>
      </c>
      <c r="B8" s="11" t="n">
        <f aca="false">IPC_Mensual!E65/IPC_Mensual!E53-1</f>
        <v>0.31553314768978</v>
      </c>
      <c r="C8" s="13" t="n">
        <f aca="false">AVERAGEIFS(SMVM_Real!$D$5:$D$72,SMVM_Real!$A$5:$A$72,"&gt;="&amp;DATE(A8,1,1),SMVM_Real!$A$5:$A$72,"&lt;="&amp;DATE(A8,12,1))</f>
        <v>13468.5855129411</v>
      </c>
      <c r="D8" s="11" t="n">
        <f aca="false">C8/C7-1</f>
        <v>-0.067391330312767</v>
      </c>
    </row>
    <row r="9" customFormat="false" ht="15" hidden="false" customHeight="false" outlineLevel="0" collapsed="false">
      <c r="A9" s="4" t="n">
        <v>2026</v>
      </c>
      <c r="B9" s="11" t="n">
        <f aca="false">IPC_Mensual!E73/IPC_Mensual!E65-1</f>
        <v>0.212924776958155</v>
      </c>
      <c r="C9" s="13" t="n">
        <f aca="false">AVERAGEIFS(SMVM_Real!$D$5:$D$72,SMVM_Real!$A$5:$A$72,"&gt;="&amp;DATE(A9,1,1),SMVM_Real!$A$5:$A$72,"&lt;="&amp;DATE(A9,12,1))</f>
        <v>12169.4025665084</v>
      </c>
      <c r="D9" s="11" t="n">
        <f aca="false">C9/C8-1</f>
        <v>-0.0964602366881342</v>
      </c>
    </row>
    <row r="11" customFormat="false" ht="15" hidden="false" customHeight="false" outlineLevel="0" collapsed="false">
      <c r="A1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15" t="s">
        <v>37</v>
      </c>
    </row>
    <row r="4" customFormat="false" ht="23.85" hidden="false" customHeight="false" outlineLevel="0" collapsed="false">
      <c r="A4" s="16" t="s">
        <v>38</v>
      </c>
    </row>
    <row r="5" customFormat="false" ht="15" hidden="false" customHeight="false" outlineLevel="0" collapsed="false">
      <c r="A5" s="16" t="s">
        <v>39</v>
      </c>
    </row>
    <row r="6" customFormat="false" ht="15" hidden="false" customHeight="false" outlineLevel="0" collapsed="false">
      <c r="A6" s="16" t="s">
        <v>40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5" t="s">
        <v>41</v>
      </c>
    </row>
    <row r="9" customFormat="false" ht="23.85" hidden="false" customHeight="false" outlineLevel="0" collapsed="false">
      <c r="A9" s="16" t="s">
        <v>42</v>
      </c>
    </row>
    <row r="10" customFormat="false" ht="15" hidden="false" customHeight="false" outlineLevel="0" collapsed="false">
      <c r="A10" s="16" t="s">
        <v>43</v>
      </c>
    </row>
    <row r="11" customFormat="false" ht="15" hidden="false" customHeight="false" outlineLevel="0" collapsed="false">
      <c r="A11" s="16" t="s">
        <v>44</v>
      </c>
    </row>
    <row r="12" customFormat="false" ht="15" hidden="false" customHeight="false" outlineLevel="0" collapsed="false">
      <c r="A12" s="1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2026-09-28T02:00:51Z</dcterms:created>
  <dc:creator>openpyxl</dc:creator>
  <dc:description/>
  <dc:language>en-US</dc:language>
  <cp:lastModifiedBy/>
  <dcterms:modified xsi:type="dcterms:W3CDTF">2026-09-28T02:00:51Z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