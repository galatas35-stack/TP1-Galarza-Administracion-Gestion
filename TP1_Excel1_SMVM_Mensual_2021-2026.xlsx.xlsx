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VM_Mensual" sheetId="1" state="visible" r:id="rId3"/>
    <sheet name="Resumen_Anual" sheetId="2" state="visible" r:id="rId4"/>
    <sheet name="Fuentes y 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<sst xmlns="http://schemas.openxmlformats.org/spreadsheetml/2006/main" count="169" uniqueCount="58">
  <si>
    <t xml:space="preserve">Salario Mínimo, Vital y Móvil (SMVM) – Argentina, enero 2021 a septiembre 2026</t>
  </si>
  <si>
    <t xml:space="preserve">Valores en pesos corrientes, jornada completa. Celdas en azul = datos cargados desde la fuente; en negro = fórmulas. Meses sin aumento repiten el valor vigente.</t>
  </si>
  <si>
    <t xml:space="preserve">Fecha</t>
  </si>
  <si>
    <t xml:space="preserve">Año</t>
  </si>
  <si>
    <t xml:space="preserve">Mes</t>
  </si>
  <si>
    <t xml:space="preserve">SMVM mensual ($)</t>
  </si>
  <si>
    <t xml:space="preserve">Variación mensual</t>
  </si>
  <si>
    <t xml:space="preserve">Variación acumulada vs. ene-2021</t>
  </si>
  <si>
    <t xml:space="preserve">Norma vigente</t>
  </si>
  <si>
    <t xml:space="preserve">ene</t>
  </si>
  <si>
    <t xml:space="preserve">n/d</t>
  </si>
  <si>
    <t xml:space="preserve">Res. 4/2020 CNEPySMVyM</t>
  </si>
  <si>
    <t xml:space="preserve">feb</t>
  </si>
  <si>
    <t xml:space="preserve">mar</t>
  </si>
  <si>
    <t xml:space="preserve">abr</t>
  </si>
  <si>
    <t xml:space="preserve">Res. 5/2021 CNEPySMVyM</t>
  </si>
  <si>
    <t xml:space="preserve">may</t>
  </si>
  <si>
    <t xml:space="preserve">jun</t>
  </si>
  <si>
    <t xml:space="preserve">jul</t>
  </si>
  <si>
    <t xml:space="preserve">Res. 6/2021 CNEPySMVyM</t>
  </si>
  <si>
    <t xml:space="preserve">ago</t>
  </si>
  <si>
    <t xml:space="preserve">sep</t>
  </si>
  <si>
    <t xml:space="preserve">Res. 11/2021 CNEPySMVyM</t>
  </si>
  <si>
    <t xml:space="preserve">oct</t>
  </si>
  <si>
    <t xml:space="preserve">nov</t>
  </si>
  <si>
    <t xml:space="preserve">dic</t>
  </si>
  <si>
    <t xml:space="preserve">Res. 4/2022 CNEPySMVyM</t>
  </si>
  <si>
    <t xml:space="preserve">Res. 11/2022 CNEPySMVyM</t>
  </si>
  <si>
    <t xml:space="preserve">Res. 15/2022 CNEPySMVyM</t>
  </si>
  <si>
    <t xml:space="preserve">Res. 5/2023 CNEPySMVyM</t>
  </si>
  <si>
    <t xml:space="preserve">Res. 10/2023 CNEPySMVyM</t>
  </si>
  <si>
    <t xml:space="preserve">Res. 15/2023 CNEPySMVyM</t>
  </si>
  <si>
    <t xml:space="preserve">Res. 4/2024 CNEPySMVyM</t>
  </si>
  <si>
    <t xml:space="preserve">Res. 9/2024 CNEPySMVyM</t>
  </si>
  <si>
    <t xml:space="preserve">Res. 13/2024 CNEPySMVyM</t>
  </si>
  <si>
    <t xml:space="preserve">Res. 17/2024 CNEPySMVyM</t>
  </si>
  <si>
    <t xml:space="preserve">Res. 5/2025 CNEPySMVyM</t>
  </si>
  <si>
    <t xml:space="preserve">Res. 9/2025 CNEPySMVyM</t>
  </si>
  <si>
    <t xml:space="preserve">Res. 4/2026 CNEPySMVyM (Boletín Oficial, 02/09/2026)</t>
  </si>
  <si>
    <t xml:space="preserve">Fuente de datos: Estudio Contable del Amo (evolución SMVM, actualizada al 10/09/2026), que replica las resoluciones del Consejo del Salario / Boletín Oficial. Ver hoja 'Fuentes y notas'.</t>
  </si>
  <si>
    <t xml:space="preserve">Resumen anual del SMVM</t>
  </si>
  <si>
    <t xml:space="preserve">SMVM diciembre ($)</t>
  </si>
  <si>
    <t xml:space="preserve">SMVM promedio del año ($)</t>
  </si>
  <si>
    <t xml:space="preserve">Variación dic/dic</t>
  </si>
  <si>
    <t xml:space="preserve">Meses con dato</t>
  </si>
  <si>
    <t xml:space="preserve">Nota: para 2026 el 'valor de cierre' es septiembre (último dato disponible), por lo que la variación 2026 es sep-2026 vs. dic-2025 (9 meses).</t>
  </si>
  <si>
    <t xml:space="preserve">Fuentes y notas</t>
  </si>
  <si>
    <t xml:space="preserve">FUENTES</t>
  </si>
  <si>
    <t xml:space="preserve">1) Estudio Contable del Amo – Evolución del Salario Mínimo, Vital y Móvil: https://estudiodelamo.com/evolucion-salario-minimo-vital-movil-argentina/ (consultado 27/09/2026; página modificada 10/09/2026).</t>
  </si>
  <si>
    <t xml:space="preserve">2) Consejo Nacional del Empleo, la Productividad y el Salario Mínimo, Vital y Móvil (Argentina.gob.ar): https://www.argentina.gob.ar/trabajo/consejodelsalario</t>
  </si>
  <si>
    <t xml:space="preserve">3) Boletín Oficial de la República Argentina – resoluciones del Consejo del Salario (citadas en la columna 'Norma vigente').</t>
  </si>
  <si>
    <t xml:space="preserve">4) Res. 4/2026 (sep-2026): https://www.infobae.com/economia/2026/09/02/de-cuanto-es-el-salario-minimo-vital-y-movil-en-septiembre-2026/ y https://chequeado.com/el-explicador/el-salario-minimo-sera-de-383-800-en-septiembre-de-2026-y-acumula-una-caida-real-del-397-desde-noviembre-de-2023/</t>
  </si>
  <si>
    <t xml:space="preserve">5) Res. 17/2024 (26/12/2024): Diario de Cuyo, https://www.diariodecuyo.com.ar/argentina/se-definio-el-salario-minimo-y-las-subas-para-los-primeros-meses-del-2025-conoce-los-nuevos-montos-1692539.html</t>
  </si>
  <si>
    <t xml:space="preserve">NOTAS METODOLÓGICAS</t>
  </si>
  <si>
    <t xml:space="preserve">• Cuando no hubo aumento en un mes, se repite el último valor vigente. Ene-feb 2021 repiten el valor de dic-2020 ($20.587); ene-2022 repite el de oct-2021; ene-2024 repite el de dic-2023.</t>
  </si>
  <si>
    <t xml:space="preserve">• El valor de septiembre 2026 ($383.800; $1.919 por hora) fue fijado por la Res. 4/2026 del Consejo del Salario, publicada en el Boletín Oficial el 02/09/2026 tras no haber acuerdo en la reunión del 28/08/2026 (verificado en Infobae, Chequeado y Diario Norte).</t>
  </si>
  <si>
    <t xml:space="preserve">• Los valores son nominales (pesos corrientes). El análisis en términos reales se hace en el Excel 2 (SMVM_Real).</t>
  </si>
  <si>
    <t xml:space="preserve">• Verificar siempre contra el Boletín Oficial antes de citar una cifra en el trabajo final.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</si>
</sst>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yy"/>
    <numFmt numFmtId="166" formatCode="0"/>
    <numFmt numFmtId="167" formatCode="#,##0.00"/>
    <numFmt numFmtId="168" formatCode="0.0%"/>
    <numFmt numFmtId="169" formatCode="0.0%;\-0.0%;\-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44197</v>
      </c>
      <c r="B5" s="5" t="n">
        <f aca="false">YEAR(A5)</f>
        <v>2021</v>
      </c>
      <c r="C5" s="6" t="s">
        <v>9</v>
      </c>
      <c r="D5" s="7" t="n">
        <v>20587</v>
      </c>
      <c r="E5" s="6" t="s">
        <v>10</v>
      </c>
      <c r="F5" s="8" t="n">
        <f aca="false">D5/$D$5-1</f>
        <v>0</v>
      </c>
      <c r="G5" s="6" t="s">
        <v>11</v>
      </c>
    </row>
    <row r="6" customFormat="false" ht="15" hidden="false" customHeight="false" outlineLevel="0" collapsed="false">
      <c r="A6" s="4" t="n">
        <v>44228</v>
      </c>
      <c r="B6" s="5" t="n">
        <f aca="false">YEAR(A6)</f>
        <v>2021</v>
      </c>
      <c r="C6" s="6" t="s">
        <v>12</v>
      </c>
      <c r="D6" s="7" t="n">
        <v>20587</v>
      </c>
      <c r="E6" s="9" t="n">
        <f aca="false">D6/D5-1</f>
        <v>0</v>
      </c>
      <c r="F6" s="8" t="n">
        <f aca="false">D6/$D$5-1</f>
        <v>0</v>
      </c>
      <c r="G6" s="6" t="s">
        <v>11</v>
      </c>
    </row>
    <row r="7" customFormat="false" ht="15" hidden="false" customHeight="false" outlineLevel="0" collapsed="false">
      <c r="A7" s="4" t="n">
        <v>44256</v>
      </c>
      <c r="B7" s="5" t="n">
        <f aca="false">YEAR(A7)</f>
        <v>2021</v>
      </c>
      <c r="C7" s="6" t="s">
        <v>13</v>
      </c>
      <c r="D7" s="7" t="n">
        <v>21600</v>
      </c>
      <c r="E7" s="9" t="n">
        <f aca="false">D7/D6-1</f>
        <v>0.0492058094914267</v>
      </c>
      <c r="F7" s="8" t="n">
        <f aca="false">D7/$D$5-1</f>
        <v>0.0492058094914267</v>
      </c>
      <c r="G7" s="6" t="s">
        <v>11</v>
      </c>
    </row>
    <row r="8" customFormat="false" ht="15" hidden="false" customHeight="false" outlineLevel="0" collapsed="false">
      <c r="A8" s="4" t="n">
        <v>44287</v>
      </c>
      <c r="B8" s="5" t="n">
        <f aca="false">YEAR(A8)</f>
        <v>2021</v>
      </c>
      <c r="C8" s="6" t="s">
        <v>14</v>
      </c>
      <c r="D8" s="7" t="n">
        <v>23544</v>
      </c>
      <c r="E8" s="9" t="n">
        <f aca="false">D8/D7-1</f>
        <v>0.0900000000000001</v>
      </c>
      <c r="F8" s="8" t="n">
        <f aca="false">D8/$D$5-1</f>
        <v>0.143634332345655</v>
      </c>
      <c r="G8" s="6" t="s">
        <v>15</v>
      </c>
    </row>
    <row r="9" customFormat="false" ht="15" hidden="false" customHeight="false" outlineLevel="0" collapsed="false">
      <c r="A9" s="4" t="n">
        <v>44317</v>
      </c>
      <c r="B9" s="5" t="n">
        <f aca="false">YEAR(A9)</f>
        <v>2021</v>
      </c>
      <c r="C9" s="6" t="s">
        <v>16</v>
      </c>
      <c r="D9" s="7" t="n">
        <v>24408</v>
      </c>
      <c r="E9" s="9" t="n">
        <f aca="false">D9/D8-1</f>
        <v>0.036697247706422</v>
      </c>
      <c r="F9" s="8" t="n">
        <f aca="false">D9/$D$5-1</f>
        <v>0.185602564725312</v>
      </c>
      <c r="G9" s="6" t="s">
        <v>15</v>
      </c>
    </row>
    <row r="10" customFormat="false" ht="15" hidden="false" customHeight="false" outlineLevel="0" collapsed="false">
      <c r="A10" s="4" t="n">
        <v>44348</v>
      </c>
      <c r="B10" s="5" t="n">
        <f aca="false">YEAR(A10)</f>
        <v>2021</v>
      </c>
      <c r="C10" s="6" t="s">
        <v>17</v>
      </c>
      <c r="D10" s="7" t="n">
        <v>25272</v>
      </c>
      <c r="E10" s="9" t="n">
        <f aca="false">D10/D9-1</f>
        <v>0.0353982300884956</v>
      </c>
      <c r="F10" s="8" t="n">
        <f aca="false">D10/$D$5-1</f>
        <v>0.227570797104969</v>
      </c>
      <c r="G10" s="6" t="s">
        <v>15</v>
      </c>
    </row>
    <row r="11" customFormat="false" ht="15" hidden="false" customHeight="false" outlineLevel="0" collapsed="false">
      <c r="A11" s="4" t="n">
        <v>44378</v>
      </c>
      <c r="B11" s="5" t="n">
        <f aca="false">YEAR(A11)</f>
        <v>2021</v>
      </c>
      <c r="C11" s="6" t="s">
        <v>18</v>
      </c>
      <c r="D11" s="7" t="n">
        <v>27216</v>
      </c>
      <c r="E11" s="9" t="n">
        <f aca="false">D11/D10-1</f>
        <v>0.0769230769230769</v>
      </c>
      <c r="F11" s="8" t="n">
        <f aca="false">D11/$D$5-1</f>
        <v>0.321999319959198</v>
      </c>
      <c r="G11" s="6" t="s">
        <v>19</v>
      </c>
    </row>
    <row r="12" customFormat="false" ht="15" hidden="false" customHeight="false" outlineLevel="0" collapsed="false">
      <c r="A12" s="4" t="n">
        <v>44409</v>
      </c>
      <c r="B12" s="5" t="n">
        <f aca="false">YEAR(A12)</f>
        <v>2021</v>
      </c>
      <c r="C12" s="6" t="s">
        <v>20</v>
      </c>
      <c r="D12" s="7" t="n">
        <v>28080</v>
      </c>
      <c r="E12" s="9" t="n">
        <f aca="false">D12/D11-1</f>
        <v>0.0317460317460319</v>
      </c>
      <c r="F12" s="8" t="n">
        <f aca="false">D12/$D$5-1</f>
        <v>0.363967552338855</v>
      </c>
      <c r="G12" s="6" t="s">
        <v>19</v>
      </c>
    </row>
    <row r="13" customFormat="false" ht="15" hidden="false" customHeight="false" outlineLevel="0" collapsed="false">
      <c r="A13" s="4" t="n">
        <v>44440</v>
      </c>
      <c r="B13" s="5" t="n">
        <f aca="false">YEAR(A13)</f>
        <v>2021</v>
      </c>
      <c r="C13" s="6" t="s">
        <v>21</v>
      </c>
      <c r="D13" s="7" t="n">
        <v>31104</v>
      </c>
      <c r="E13" s="9" t="n">
        <f aca="false">D13/D12-1</f>
        <v>0.107692307692308</v>
      </c>
      <c r="F13" s="8" t="n">
        <f aca="false">D13/$D$5-1</f>
        <v>0.510856365667654</v>
      </c>
      <c r="G13" s="6" t="s">
        <v>22</v>
      </c>
    </row>
    <row r="14" customFormat="false" ht="15" hidden="false" customHeight="false" outlineLevel="0" collapsed="false">
      <c r="A14" s="4" t="n">
        <v>44470</v>
      </c>
      <c r="B14" s="5" t="n">
        <f aca="false">YEAR(A14)</f>
        <v>2021</v>
      </c>
      <c r="C14" s="6" t="s">
        <v>23</v>
      </c>
      <c r="D14" s="7" t="n">
        <v>32000</v>
      </c>
      <c r="E14" s="9" t="n">
        <f aca="false">D14/D13-1</f>
        <v>0.0288065843621399</v>
      </c>
      <c r="F14" s="8" t="n">
        <f aca="false">D14/$D$5-1</f>
        <v>0.554378977024336</v>
      </c>
      <c r="G14" s="6" t="s">
        <v>22</v>
      </c>
    </row>
    <row r="15" customFormat="false" ht="15" hidden="false" customHeight="false" outlineLevel="0" collapsed="false">
      <c r="A15" s="4" t="n">
        <v>44501</v>
      </c>
      <c r="B15" s="5" t="n">
        <f aca="false">YEAR(A15)</f>
        <v>2021</v>
      </c>
      <c r="C15" s="6" t="s">
        <v>24</v>
      </c>
      <c r="D15" s="7" t="n">
        <v>32000</v>
      </c>
      <c r="E15" s="9" t="n">
        <f aca="false">D15/D14-1</f>
        <v>0</v>
      </c>
      <c r="F15" s="8" t="n">
        <f aca="false">D15/$D$5-1</f>
        <v>0.554378977024336</v>
      </c>
      <c r="G15" s="6" t="s">
        <v>22</v>
      </c>
    </row>
    <row r="16" customFormat="false" ht="15" hidden="false" customHeight="false" outlineLevel="0" collapsed="false">
      <c r="A16" s="4" t="n">
        <v>44531</v>
      </c>
      <c r="B16" s="5" t="n">
        <f aca="false">YEAR(A16)</f>
        <v>2021</v>
      </c>
      <c r="C16" s="6" t="s">
        <v>25</v>
      </c>
      <c r="D16" s="7" t="n">
        <v>32000</v>
      </c>
      <c r="E16" s="9" t="n">
        <f aca="false">D16/D15-1</f>
        <v>0</v>
      </c>
      <c r="F16" s="8" t="n">
        <f aca="false">D16/$D$5-1</f>
        <v>0.554378977024336</v>
      </c>
      <c r="G16" s="6" t="s">
        <v>22</v>
      </c>
    </row>
    <row r="17" customFormat="false" ht="15" hidden="false" customHeight="false" outlineLevel="0" collapsed="false">
      <c r="A17" s="4" t="n">
        <v>44562</v>
      </c>
      <c r="B17" s="5" t="n">
        <f aca="false">YEAR(A17)</f>
        <v>2022</v>
      </c>
      <c r="C17" s="6" t="s">
        <v>9</v>
      </c>
      <c r="D17" s="7" t="n">
        <v>32000</v>
      </c>
      <c r="E17" s="9" t="n">
        <f aca="false">D17/D16-1</f>
        <v>0</v>
      </c>
      <c r="F17" s="8" t="n">
        <f aca="false">D17/$D$5-1</f>
        <v>0.554378977024336</v>
      </c>
      <c r="G17" s="6" t="s">
        <v>22</v>
      </c>
    </row>
    <row r="18" customFormat="false" ht="15" hidden="false" customHeight="false" outlineLevel="0" collapsed="false">
      <c r="A18" s="4" t="n">
        <v>44593</v>
      </c>
      <c r="B18" s="5" t="n">
        <f aca="false">YEAR(A18)</f>
        <v>2022</v>
      </c>
      <c r="C18" s="6" t="s">
        <v>12</v>
      </c>
      <c r="D18" s="7" t="n">
        <v>33000</v>
      </c>
      <c r="E18" s="9" t="n">
        <f aca="false">D18/D17-1</f>
        <v>0.03125</v>
      </c>
      <c r="F18" s="8" t="n">
        <f aca="false">D18/$D$5-1</f>
        <v>0.602953320056346</v>
      </c>
      <c r="G18" s="6" t="s">
        <v>22</v>
      </c>
    </row>
    <row r="19" customFormat="false" ht="15" hidden="false" customHeight="false" outlineLevel="0" collapsed="false">
      <c r="A19" s="4" t="n">
        <v>44621</v>
      </c>
      <c r="B19" s="5" t="n">
        <f aca="false">YEAR(A19)</f>
        <v>2022</v>
      </c>
      <c r="C19" s="6" t="s">
        <v>13</v>
      </c>
      <c r="D19" s="7" t="n">
        <v>33000</v>
      </c>
      <c r="E19" s="9" t="n">
        <f aca="false">D19/D18-1</f>
        <v>0</v>
      </c>
      <c r="F19" s="8" t="n">
        <f aca="false">D19/$D$5-1</f>
        <v>0.602953320056346</v>
      </c>
      <c r="G19" s="6" t="s">
        <v>22</v>
      </c>
    </row>
    <row r="20" customFormat="false" ht="15" hidden="false" customHeight="false" outlineLevel="0" collapsed="false">
      <c r="A20" s="4" t="n">
        <v>44652</v>
      </c>
      <c r="B20" s="5" t="n">
        <f aca="false">YEAR(A20)</f>
        <v>2022</v>
      </c>
      <c r="C20" s="6" t="s">
        <v>14</v>
      </c>
      <c r="D20" s="7" t="n">
        <v>38940</v>
      </c>
      <c r="E20" s="9" t="n">
        <f aca="false">D20/D19-1</f>
        <v>0.18</v>
      </c>
      <c r="F20" s="8" t="n">
        <f aca="false">D20/$D$5-1</f>
        <v>0.891484917666489</v>
      </c>
      <c r="G20" s="6" t="s">
        <v>26</v>
      </c>
    </row>
    <row r="21" customFormat="false" ht="15" hidden="false" customHeight="false" outlineLevel="0" collapsed="false">
      <c r="A21" s="4" t="n">
        <v>44682</v>
      </c>
      <c r="B21" s="5" t="n">
        <f aca="false">YEAR(A21)</f>
        <v>2022</v>
      </c>
      <c r="C21" s="6" t="s">
        <v>16</v>
      </c>
      <c r="D21" s="7" t="n">
        <v>38940</v>
      </c>
      <c r="E21" s="9" t="n">
        <f aca="false">D21/D20-1</f>
        <v>0</v>
      </c>
      <c r="F21" s="8" t="n">
        <f aca="false">D21/$D$5-1</f>
        <v>0.891484917666489</v>
      </c>
      <c r="G21" s="6" t="s">
        <v>26</v>
      </c>
    </row>
    <row r="22" customFormat="false" ht="15" hidden="false" customHeight="false" outlineLevel="0" collapsed="false">
      <c r="A22" s="4" t="n">
        <v>44713</v>
      </c>
      <c r="B22" s="5" t="n">
        <f aca="false">YEAR(A22)</f>
        <v>2022</v>
      </c>
      <c r="C22" s="6" t="s">
        <v>17</v>
      </c>
      <c r="D22" s="7" t="n">
        <v>42240</v>
      </c>
      <c r="E22" s="9" t="n">
        <f aca="false">D22/D21-1</f>
        <v>0.0847457627118644</v>
      </c>
      <c r="F22" s="8" t="n">
        <f aca="false">D22/$D$5-1</f>
        <v>1.05178024967212</v>
      </c>
      <c r="G22" s="6" t="s">
        <v>26</v>
      </c>
    </row>
    <row r="23" customFormat="false" ht="15" hidden="false" customHeight="false" outlineLevel="0" collapsed="false">
      <c r="A23" s="4" t="n">
        <v>44743</v>
      </c>
      <c r="B23" s="5" t="n">
        <f aca="false">YEAR(A23)</f>
        <v>2022</v>
      </c>
      <c r="C23" s="6" t="s">
        <v>18</v>
      </c>
      <c r="D23" s="7" t="n">
        <v>42240</v>
      </c>
      <c r="E23" s="9" t="n">
        <f aca="false">D23/D22-1</f>
        <v>0</v>
      </c>
      <c r="F23" s="8" t="n">
        <f aca="false">D23/$D$5-1</f>
        <v>1.05178024967212</v>
      </c>
      <c r="G23" s="6" t="s">
        <v>26</v>
      </c>
    </row>
    <row r="24" customFormat="false" ht="15" hidden="false" customHeight="false" outlineLevel="0" collapsed="false">
      <c r="A24" s="4" t="n">
        <v>44774</v>
      </c>
      <c r="B24" s="5" t="n">
        <f aca="false">YEAR(A24)</f>
        <v>2022</v>
      </c>
      <c r="C24" s="6" t="s">
        <v>20</v>
      </c>
      <c r="D24" s="7" t="n">
        <v>45540</v>
      </c>
      <c r="E24" s="9" t="n">
        <f aca="false">D24/D23-1</f>
        <v>0.078125</v>
      </c>
      <c r="F24" s="8" t="n">
        <f aca="false">D24/$D$5-1</f>
        <v>1.21207558167776</v>
      </c>
      <c r="G24" s="6" t="s">
        <v>26</v>
      </c>
    </row>
    <row r="25" customFormat="false" ht="15" hidden="false" customHeight="false" outlineLevel="0" collapsed="false">
      <c r="A25" s="4" t="n">
        <v>44805</v>
      </c>
      <c r="B25" s="5" t="n">
        <f aca="false">YEAR(A25)</f>
        <v>2022</v>
      </c>
      <c r="C25" s="6" t="s">
        <v>21</v>
      </c>
      <c r="D25" s="7" t="n">
        <v>51200</v>
      </c>
      <c r="E25" s="9" t="n">
        <f aca="false">D25/D24-1</f>
        <v>0.124286341677646</v>
      </c>
      <c r="F25" s="8" t="n">
        <f aca="false">D25/$D$5-1</f>
        <v>1.48700636323894</v>
      </c>
      <c r="G25" s="6" t="s">
        <v>27</v>
      </c>
    </row>
    <row r="26" customFormat="false" ht="15" hidden="false" customHeight="false" outlineLevel="0" collapsed="false">
      <c r="A26" s="4" t="n">
        <v>44835</v>
      </c>
      <c r="B26" s="5" t="n">
        <f aca="false">YEAR(A26)</f>
        <v>2022</v>
      </c>
      <c r="C26" s="6" t="s">
        <v>23</v>
      </c>
      <c r="D26" s="7" t="n">
        <v>54550</v>
      </c>
      <c r="E26" s="9" t="n">
        <f aca="false">D26/D25-1</f>
        <v>0.0654296875</v>
      </c>
      <c r="F26" s="8" t="n">
        <f aca="false">D26/$D$5-1</f>
        <v>1.64973041239617</v>
      </c>
      <c r="G26" s="6" t="s">
        <v>27</v>
      </c>
    </row>
    <row r="27" customFormat="false" ht="15" hidden="false" customHeight="false" outlineLevel="0" collapsed="false">
      <c r="A27" s="4" t="n">
        <v>44866</v>
      </c>
      <c r="B27" s="5" t="n">
        <f aca="false">YEAR(A27)</f>
        <v>2022</v>
      </c>
      <c r="C27" s="6" t="s">
        <v>24</v>
      </c>
      <c r="D27" s="7" t="n">
        <v>57900</v>
      </c>
      <c r="E27" s="9" t="n">
        <f aca="false">D27/D26-1</f>
        <v>0.0614115490375802</v>
      </c>
      <c r="F27" s="8" t="n">
        <f aca="false">D27/$D$5-1</f>
        <v>1.81245446155341</v>
      </c>
      <c r="G27" s="6" t="s">
        <v>27</v>
      </c>
    </row>
    <row r="28" customFormat="false" ht="15" hidden="false" customHeight="false" outlineLevel="0" collapsed="false">
      <c r="A28" s="4" t="n">
        <v>44896</v>
      </c>
      <c r="B28" s="5" t="n">
        <f aca="false">YEAR(A28)</f>
        <v>2022</v>
      </c>
      <c r="C28" s="6" t="s">
        <v>25</v>
      </c>
      <c r="D28" s="7" t="n">
        <v>61953</v>
      </c>
      <c r="E28" s="9" t="n">
        <f aca="false">D28/D27-1</f>
        <v>0.0700000000000001</v>
      </c>
      <c r="F28" s="8" t="n">
        <f aca="false">D28/$D$5-1</f>
        <v>2.00932627386215</v>
      </c>
      <c r="G28" s="6" t="s">
        <v>28</v>
      </c>
    </row>
    <row r="29" customFormat="false" ht="15" hidden="false" customHeight="false" outlineLevel="0" collapsed="false">
      <c r="A29" s="4" t="n">
        <v>44927</v>
      </c>
      <c r="B29" s="5" t="n">
        <f aca="false">YEAR(A29)</f>
        <v>2023</v>
      </c>
      <c r="C29" s="6" t="s">
        <v>9</v>
      </c>
      <c r="D29" s="7" t="n">
        <v>65427</v>
      </c>
      <c r="E29" s="9" t="n">
        <f aca="false">D29/D28-1</f>
        <v>0.0560747663551402</v>
      </c>
      <c r="F29" s="8" t="n">
        <f aca="false">D29/$D$5-1</f>
        <v>2.17807354155535</v>
      </c>
      <c r="G29" s="6" t="s">
        <v>28</v>
      </c>
    </row>
    <row r="30" customFormat="false" ht="15" hidden="false" customHeight="false" outlineLevel="0" collapsed="false">
      <c r="A30" s="4" t="n">
        <v>44958</v>
      </c>
      <c r="B30" s="5" t="n">
        <f aca="false">YEAR(A30)</f>
        <v>2023</v>
      </c>
      <c r="C30" s="6" t="s">
        <v>12</v>
      </c>
      <c r="D30" s="7" t="n">
        <v>67743</v>
      </c>
      <c r="E30" s="9" t="n">
        <f aca="false">D30/D29-1</f>
        <v>0.0353982300884956</v>
      </c>
      <c r="F30" s="8" t="n">
        <f aca="false">D30/$D$5-1</f>
        <v>2.29057172001749</v>
      </c>
      <c r="G30" s="6" t="s">
        <v>28</v>
      </c>
    </row>
    <row r="31" customFormat="false" ht="15" hidden="false" customHeight="false" outlineLevel="0" collapsed="false">
      <c r="A31" s="4" t="n">
        <v>44986</v>
      </c>
      <c r="B31" s="5" t="n">
        <f aca="false">YEAR(A31)</f>
        <v>2023</v>
      </c>
      <c r="C31" s="6" t="s">
        <v>13</v>
      </c>
      <c r="D31" s="7" t="n">
        <v>69500</v>
      </c>
      <c r="E31" s="9" t="n">
        <f aca="false">D31/D30-1</f>
        <v>0.0259362590968808</v>
      </c>
      <c r="F31" s="8" t="n">
        <f aca="false">D31/$D$5-1</f>
        <v>2.37591684072473</v>
      </c>
      <c r="G31" s="6" t="s">
        <v>28</v>
      </c>
    </row>
    <row r="32" customFormat="false" ht="15" hidden="false" customHeight="false" outlineLevel="0" collapsed="false">
      <c r="A32" s="4" t="n">
        <v>45017</v>
      </c>
      <c r="B32" s="5" t="n">
        <f aca="false">YEAR(A32)</f>
        <v>2023</v>
      </c>
      <c r="C32" s="6" t="s">
        <v>14</v>
      </c>
      <c r="D32" s="7" t="n">
        <v>80342</v>
      </c>
      <c r="E32" s="9" t="n">
        <f aca="false">D32/D31-1</f>
        <v>0.156</v>
      </c>
      <c r="F32" s="8" t="n">
        <f aca="false">D32/$D$5-1</f>
        <v>2.90255986787779</v>
      </c>
      <c r="G32" s="6" t="s">
        <v>29</v>
      </c>
    </row>
    <row r="33" customFormat="false" ht="15" hidden="false" customHeight="false" outlineLevel="0" collapsed="false">
      <c r="A33" s="4" t="n">
        <v>45047</v>
      </c>
      <c r="B33" s="5" t="n">
        <f aca="false">YEAR(A33)</f>
        <v>2023</v>
      </c>
      <c r="C33" s="6" t="s">
        <v>16</v>
      </c>
      <c r="D33" s="7" t="n">
        <v>84512</v>
      </c>
      <c r="E33" s="9" t="n">
        <f aca="false">D33/D32-1</f>
        <v>0.0519031141868511</v>
      </c>
      <c r="F33" s="8" t="n">
        <f aca="false">D33/$D$5-1</f>
        <v>3.10511487832127</v>
      </c>
      <c r="G33" s="6" t="s">
        <v>29</v>
      </c>
    </row>
    <row r="34" customFormat="false" ht="15" hidden="false" customHeight="false" outlineLevel="0" collapsed="false">
      <c r="A34" s="4" t="n">
        <v>45078</v>
      </c>
      <c r="B34" s="5" t="n">
        <f aca="false">YEAR(A34)</f>
        <v>2023</v>
      </c>
      <c r="C34" s="6" t="s">
        <v>17</v>
      </c>
      <c r="D34" s="7" t="n">
        <v>87987</v>
      </c>
      <c r="E34" s="9" t="n">
        <f aca="false">D34/D33-1</f>
        <v>0.0411184210526316</v>
      </c>
      <c r="F34" s="8" t="n">
        <f aca="false">D34/$D$5-1</f>
        <v>3.27391072035751</v>
      </c>
      <c r="G34" s="6" t="s">
        <v>29</v>
      </c>
    </row>
    <row r="35" customFormat="false" ht="15" hidden="false" customHeight="false" outlineLevel="0" collapsed="false">
      <c r="A35" s="4" t="n">
        <v>45108</v>
      </c>
      <c r="B35" s="5" t="n">
        <f aca="false">YEAR(A35)</f>
        <v>2023</v>
      </c>
      <c r="C35" s="6" t="s">
        <v>18</v>
      </c>
      <c r="D35" s="7" t="n">
        <v>105500</v>
      </c>
      <c r="E35" s="9" t="n">
        <f aca="false">D35/D34-1</f>
        <v>0.199040767386091</v>
      </c>
      <c r="F35" s="8" t="n">
        <f aca="false">D35/$D$5-1</f>
        <v>4.12459318987711</v>
      </c>
      <c r="G35" s="6" t="s">
        <v>30</v>
      </c>
    </row>
    <row r="36" customFormat="false" ht="15" hidden="false" customHeight="false" outlineLevel="0" collapsed="false">
      <c r="A36" s="4" t="n">
        <v>45139</v>
      </c>
      <c r="B36" s="5" t="n">
        <f aca="false">YEAR(A36)</f>
        <v>2023</v>
      </c>
      <c r="C36" s="6" t="s">
        <v>20</v>
      </c>
      <c r="D36" s="7" t="n">
        <v>112500</v>
      </c>
      <c r="E36" s="9" t="n">
        <f aca="false">D36/D35-1</f>
        <v>0.066350710900474</v>
      </c>
      <c r="F36" s="8" t="n">
        <f aca="false">D36/$D$5-1</f>
        <v>4.46461359110118</v>
      </c>
      <c r="G36" s="6" t="s">
        <v>30</v>
      </c>
    </row>
    <row r="37" customFormat="false" ht="15" hidden="false" customHeight="false" outlineLevel="0" collapsed="false">
      <c r="A37" s="4" t="n">
        <v>45170</v>
      </c>
      <c r="B37" s="5" t="n">
        <f aca="false">YEAR(A37)</f>
        <v>2023</v>
      </c>
      <c r="C37" s="6" t="s">
        <v>21</v>
      </c>
      <c r="D37" s="7" t="n">
        <v>118000</v>
      </c>
      <c r="E37" s="9" t="n">
        <f aca="false">D37/D36-1</f>
        <v>0.048888888888889</v>
      </c>
      <c r="F37" s="8" t="n">
        <f aca="false">D37/$D$5-1</f>
        <v>4.73177247777724</v>
      </c>
      <c r="G37" s="6" t="s">
        <v>30</v>
      </c>
    </row>
    <row r="38" customFormat="false" ht="15" hidden="false" customHeight="false" outlineLevel="0" collapsed="false">
      <c r="A38" s="4" t="n">
        <v>45200</v>
      </c>
      <c r="B38" s="5" t="n">
        <f aca="false">YEAR(A38)</f>
        <v>2023</v>
      </c>
      <c r="C38" s="6" t="s">
        <v>23</v>
      </c>
      <c r="D38" s="7" t="n">
        <v>132000</v>
      </c>
      <c r="E38" s="9" t="n">
        <f aca="false">D38/D37-1</f>
        <v>0.11864406779661</v>
      </c>
      <c r="F38" s="8" t="n">
        <f aca="false">D38/$D$5-1</f>
        <v>5.41181328022539</v>
      </c>
      <c r="G38" s="6" t="s">
        <v>31</v>
      </c>
    </row>
    <row r="39" customFormat="false" ht="15" hidden="false" customHeight="false" outlineLevel="0" collapsed="false">
      <c r="A39" s="4" t="n">
        <v>45231</v>
      </c>
      <c r="B39" s="5" t="n">
        <f aca="false">YEAR(A39)</f>
        <v>2023</v>
      </c>
      <c r="C39" s="6" t="s">
        <v>24</v>
      </c>
      <c r="D39" s="7" t="n">
        <v>146000</v>
      </c>
      <c r="E39" s="9" t="n">
        <f aca="false">D39/D38-1</f>
        <v>0.106060606060606</v>
      </c>
      <c r="F39" s="8" t="n">
        <f aca="false">D39/$D$5-1</f>
        <v>6.09185408267353</v>
      </c>
      <c r="G39" s="6" t="s">
        <v>31</v>
      </c>
    </row>
    <row r="40" customFormat="false" ht="15" hidden="false" customHeight="false" outlineLevel="0" collapsed="false">
      <c r="A40" s="4" t="n">
        <v>45261</v>
      </c>
      <c r="B40" s="5" t="n">
        <f aca="false">YEAR(A40)</f>
        <v>2023</v>
      </c>
      <c r="C40" s="6" t="s">
        <v>25</v>
      </c>
      <c r="D40" s="7" t="n">
        <v>156000</v>
      </c>
      <c r="E40" s="9" t="n">
        <f aca="false">D40/D39-1</f>
        <v>0.0684931506849316</v>
      </c>
      <c r="F40" s="8" t="n">
        <f aca="false">D40/$D$5-1</f>
        <v>6.57759751299364</v>
      </c>
      <c r="G40" s="6" t="s">
        <v>31</v>
      </c>
    </row>
    <row r="41" customFormat="false" ht="15" hidden="false" customHeight="false" outlineLevel="0" collapsed="false">
      <c r="A41" s="4" t="n">
        <v>45292</v>
      </c>
      <c r="B41" s="5" t="n">
        <f aca="false">YEAR(A41)</f>
        <v>2024</v>
      </c>
      <c r="C41" s="6" t="s">
        <v>9</v>
      </c>
      <c r="D41" s="7" t="n">
        <v>156000</v>
      </c>
      <c r="E41" s="9" t="n">
        <f aca="false">D41/D40-1</f>
        <v>0</v>
      </c>
      <c r="F41" s="8" t="n">
        <f aca="false">D41/$D$5-1</f>
        <v>6.57759751299364</v>
      </c>
      <c r="G41" s="6" t="s">
        <v>31</v>
      </c>
    </row>
    <row r="42" customFormat="false" ht="15" hidden="false" customHeight="false" outlineLevel="0" collapsed="false">
      <c r="A42" s="4" t="n">
        <v>45323</v>
      </c>
      <c r="B42" s="5" t="n">
        <f aca="false">YEAR(A42)</f>
        <v>2024</v>
      </c>
      <c r="C42" s="6" t="s">
        <v>12</v>
      </c>
      <c r="D42" s="7" t="n">
        <v>180000</v>
      </c>
      <c r="E42" s="9" t="n">
        <f aca="false">D42/D41-1</f>
        <v>0.153846153846154</v>
      </c>
      <c r="F42" s="8" t="n">
        <f aca="false">D42/$D$5-1</f>
        <v>7.74338174576189</v>
      </c>
      <c r="G42" s="6" t="s">
        <v>32</v>
      </c>
    </row>
    <row r="43" customFormat="false" ht="15" hidden="false" customHeight="false" outlineLevel="0" collapsed="false">
      <c r="A43" s="4" t="n">
        <v>45352</v>
      </c>
      <c r="B43" s="5" t="n">
        <f aca="false">YEAR(A43)</f>
        <v>2024</v>
      </c>
      <c r="C43" s="6" t="s">
        <v>13</v>
      </c>
      <c r="D43" s="7" t="n">
        <v>202800</v>
      </c>
      <c r="E43" s="9" t="n">
        <f aca="false">D43/D42-1</f>
        <v>0.126666666666667</v>
      </c>
      <c r="F43" s="8" t="n">
        <f aca="false">D43/$D$5-1</f>
        <v>8.85087676689173</v>
      </c>
      <c r="G43" s="6" t="s">
        <v>32</v>
      </c>
    </row>
    <row r="44" customFormat="false" ht="15" hidden="false" customHeight="false" outlineLevel="0" collapsed="false">
      <c r="A44" s="4" t="n">
        <v>45383</v>
      </c>
      <c r="B44" s="5" t="n">
        <f aca="false">YEAR(A44)</f>
        <v>2024</v>
      </c>
      <c r="C44" s="6" t="s">
        <v>14</v>
      </c>
      <c r="D44" s="7" t="n">
        <v>221052</v>
      </c>
      <c r="E44" s="9" t="n">
        <f aca="false">D44/D43-1</f>
        <v>0.0900000000000001</v>
      </c>
      <c r="F44" s="8" t="n">
        <f aca="false">D44/$D$5-1</f>
        <v>9.73745567591198</v>
      </c>
      <c r="G44" s="6" t="s">
        <v>33</v>
      </c>
    </row>
    <row r="45" customFormat="false" ht="15" hidden="false" customHeight="false" outlineLevel="0" collapsed="false">
      <c r="A45" s="4" t="n">
        <v>45413</v>
      </c>
      <c r="B45" s="5" t="n">
        <f aca="false">YEAR(A45)</f>
        <v>2024</v>
      </c>
      <c r="C45" s="6" t="s">
        <v>16</v>
      </c>
      <c r="D45" s="7" t="n">
        <v>234315</v>
      </c>
      <c r="E45" s="9" t="n">
        <f aca="false">D45/D44-1</f>
        <v>0.0599994571413061</v>
      </c>
      <c r="F45" s="8" t="n">
        <f aca="false">D45/$D$5-1</f>
        <v>10.3816971875455</v>
      </c>
      <c r="G45" s="6" t="s">
        <v>33</v>
      </c>
    </row>
    <row r="46" customFormat="false" ht="15" hidden="false" customHeight="false" outlineLevel="0" collapsed="false">
      <c r="A46" s="4" t="n">
        <v>45444</v>
      </c>
      <c r="B46" s="5" t="n">
        <f aca="false">YEAR(A46)</f>
        <v>2024</v>
      </c>
      <c r="C46" s="6" t="s">
        <v>17</v>
      </c>
      <c r="D46" s="7" t="n">
        <v>234315</v>
      </c>
      <c r="E46" s="9" t="n">
        <f aca="false">D46/D45-1</f>
        <v>0</v>
      </c>
      <c r="F46" s="8" t="n">
        <f aca="false">D46/$D$5-1</f>
        <v>10.3816971875455</v>
      </c>
      <c r="G46" s="6" t="s">
        <v>33</v>
      </c>
    </row>
    <row r="47" customFormat="false" ht="15" hidden="false" customHeight="false" outlineLevel="0" collapsed="false">
      <c r="A47" s="4" t="n">
        <v>45474</v>
      </c>
      <c r="B47" s="5" t="n">
        <f aca="false">YEAR(A47)</f>
        <v>2024</v>
      </c>
      <c r="C47" s="6" t="s">
        <v>18</v>
      </c>
      <c r="D47" s="7" t="n">
        <v>254231.91</v>
      </c>
      <c r="E47" s="9" t="n">
        <f aca="false">D47/D46-1</f>
        <v>0.0850005761474937</v>
      </c>
      <c r="F47" s="8" t="n">
        <f aca="false">D47/$D$5-1</f>
        <v>11.3491480060232</v>
      </c>
      <c r="G47" s="6" t="s">
        <v>34</v>
      </c>
    </row>
    <row r="48" customFormat="false" ht="15" hidden="false" customHeight="false" outlineLevel="0" collapsed="false">
      <c r="A48" s="4" t="n">
        <v>45505</v>
      </c>
      <c r="B48" s="5" t="n">
        <f aca="false">YEAR(A48)</f>
        <v>2024</v>
      </c>
      <c r="C48" s="6" t="s">
        <v>20</v>
      </c>
      <c r="D48" s="7" t="n">
        <v>262432.93</v>
      </c>
      <c r="E48" s="9" t="n">
        <f aca="false">D48/D47-1</f>
        <v>0.0322580277196516</v>
      </c>
      <c r="F48" s="8" t="n">
        <f aca="false">D48/$D$5-1</f>
        <v>11.7475071647156</v>
      </c>
      <c r="G48" s="6" t="s">
        <v>34</v>
      </c>
    </row>
    <row r="49" customFormat="false" ht="15" hidden="false" customHeight="false" outlineLevel="0" collapsed="false">
      <c r="A49" s="4" t="n">
        <v>45536</v>
      </c>
      <c r="B49" s="5" t="n">
        <f aca="false">YEAR(A49)</f>
        <v>2024</v>
      </c>
      <c r="C49" s="6" t="s">
        <v>21</v>
      </c>
      <c r="D49" s="7" t="n">
        <v>268056.5</v>
      </c>
      <c r="E49" s="9" t="n">
        <f aca="false">D49/D48-1</f>
        <v>0.0214285989185885</v>
      </c>
      <c r="F49" s="8" t="n">
        <f aca="false">D49/$D$5-1</f>
        <v>12.0206683829601</v>
      </c>
      <c r="G49" s="6" t="s">
        <v>34</v>
      </c>
    </row>
    <row r="50" customFormat="false" ht="15" hidden="false" customHeight="false" outlineLevel="0" collapsed="false">
      <c r="A50" s="4" t="n">
        <v>45566</v>
      </c>
      <c r="B50" s="5" t="n">
        <f aca="false">YEAR(A50)</f>
        <v>2024</v>
      </c>
      <c r="C50" s="6" t="s">
        <v>23</v>
      </c>
      <c r="D50" s="7" t="n">
        <v>271571.22</v>
      </c>
      <c r="E50" s="9" t="n">
        <f aca="false">D50/D49-1</f>
        <v>0.013111862611054</v>
      </c>
      <c r="F50" s="8" t="n">
        <f aca="false">D50/$D$5-1</f>
        <v>12.1913935979016</v>
      </c>
      <c r="G50" s="6" t="s">
        <v>34</v>
      </c>
    </row>
    <row r="51" customFormat="false" ht="15" hidden="false" customHeight="false" outlineLevel="0" collapsed="false">
      <c r="A51" s="4" t="n">
        <v>45597</v>
      </c>
      <c r="B51" s="5" t="n">
        <f aca="false">YEAR(A51)</f>
        <v>2024</v>
      </c>
      <c r="C51" s="6" t="s">
        <v>24</v>
      </c>
      <c r="D51" s="7" t="n">
        <v>271571.22</v>
      </c>
      <c r="E51" s="9" t="n">
        <f aca="false">D51/D50-1</f>
        <v>0</v>
      </c>
      <c r="F51" s="8" t="n">
        <f aca="false">D51/$D$5-1</f>
        <v>12.1913935979016</v>
      </c>
      <c r="G51" s="6" t="s">
        <v>34</v>
      </c>
    </row>
    <row r="52" customFormat="false" ht="15" hidden="false" customHeight="false" outlineLevel="0" collapsed="false">
      <c r="A52" s="4" t="n">
        <v>45627</v>
      </c>
      <c r="B52" s="5" t="n">
        <f aca="false">YEAR(A52)</f>
        <v>2024</v>
      </c>
      <c r="C52" s="6" t="s">
        <v>25</v>
      </c>
      <c r="D52" s="7" t="n">
        <v>279718</v>
      </c>
      <c r="E52" s="9" t="n">
        <f aca="false">D52/D51-1</f>
        <v>0.0299986869006224</v>
      </c>
      <c r="F52" s="8" t="n">
        <f aca="false">D52/$D$5-1</f>
        <v>12.5871180842279</v>
      </c>
      <c r="G52" s="6" t="s">
        <v>35</v>
      </c>
    </row>
    <row r="53" customFormat="false" ht="15" hidden="false" customHeight="false" outlineLevel="0" collapsed="false">
      <c r="A53" s="4" t="n">
        <v>45658</v>
      </c>
      <c r="B53" s="5" t="n">
        <f aca="false">YEAR(A53)</f>
        <v>2025</v>
      </c>
      <c r="C53" s="6" t="s">
        <v>9</v>
      </c>
      <c r="D53" s="7" t="n">
        <v>286711</v>
      </c>
      <c r="E53" s="9" t="n">
        <f aca="false">D53/D52-1</f>
        <v>0.0250001787514569</v>
      </c>
      <c r="F53" s="8" t="n">
        <f aca="false">D53/$D$5-1</f>
        <v>12.9267984650508</v>
      </c>
      <c r="G53" s="6" t="s">
        <v>35</v>
      </c>
    </row>
    <row r="54" customFormat="false" ht="15" hidden="false" customHeight="false" outlineLevel="0" collapsed="false">
      <c r="A54" s="4" t="n">
        <v>45689</v>
      </c>
      <c r="B54" s="5" t="n">
        <f aca="false">YEAR(A54)</f>
        <v>2025</v>
      </c>
      <c r="C54" s="6" t="s">
        <v>12</v>
      </c>
      <c r="D54" s="7" t="n">
        <v>292446</v>
      </c>
      <c r="E54" s="9" t="n">
        <f aca="false">D54/D53-1</f>
        <v>0.0200027205095026</v>
      </c>
      <c r="F54" s="8" t="n">
        <f aca="false">D54/$D$5-1</f>
        <v>13.2053723223393</v>
      </c>
      <c r="G54" s="6" t="s">
        <v>35</v>
      </c>
    </row>
    <row r="55" customFormat="false" ht="15" hidden="false" customHeight="false" outlineLevel="0" collapsed="false">
      <c r="A55" s="4" t="n">
        <v>45717</v>
      </c>
      <c r="B55" s="5" t="n">
        <f aca="false">YEAR(A55)</f>
        <v>2025</v>
      </c>
      <c r="C55" s="6" t="s">
        <v>13</v>
      </c>
      <c r="D55" s="7" t="n">
        <v>296832</v>
      </c>
      <c r="E55" s="9" t="n">
        <f aca="false">D55/D54-1</f>
        <v>0.0149976405900576</v>
      </c>
      <c r="F55" s="8" t="n">
        <f aca="false">D55/$D$5-1</f>
        <v>13.4184193908777</v>
      </c>
      <c r="G55" s="6" t="s">
        <v>35</v>
      </c>
    </row>
    <row r="56" customFormat="false" ht="15" hidden="false" customHeight="false" outlineLevel="0" collapsed="false">
      <c r="A56" s="4" t="n">
        <v>45748</v>
      </c>
      <c r="B56" s="5" t="n">
        <f aca="false">YEAR(A56)</f>
        <v>2025</v>
      </c>
      <c r="C56" s="6" t="s">
        <v>14</v>
      </c>
      <c r="D56" s="7" t="n">
        <v>302600</v>
      </c>
      <c r="E56" s="9" t="n">
        <f aca="false">D56/D55-1</f>
        <v>0.0194318671841311</v>
      </c>
      <c r="F56" s="8" t="n">
        <f aca="false">D56/$D$5-1</f>
        <v>13.6985962014864</v>
      </c>
      <c r="G56" s="6" t="s">
        <v>36</v>
      </c>
    </row>
    <row r="57" customFormat="false" ht="15" hidden="false" customHeight="false" outlineLevel="0" collapsed="false">
      <c r="A57" s="4" t="n">
        <v>45778</v>
      </c>
      <c r="B57" s="5" t="n">
        <f aca="false">YEAR(A57)</f>
        <v>2025</v>
      </c>
      <c r="C57" s="6" t="s">
        <v>16</v>
      </c>
      <c r="D57" s="7" t="n">
        <v>308200</v>
      </c>
      <c r="E57" s="9" t="n">
        <f aca="false">D57/D56-1</f>
        <v>0.0185062789160608</v>
      </c>
      <c r="F57" s="8" t="n">
        <f aca="false">D57/$D$5-1</f>
        <v>13.9706125224656</v>
      </c>
      <c r="G57" s="6" t="s">
        <v>36</v>
      </c>
    </row>
    <row r="58" customFormat="false" ht="15" hidden="false" customHeight="false" outlineLevel="0" collapsed="false">
      <c r="A58" s="4" t="n">
        <v>45809</v>
      </c>
      <c r="B58" s="5" t="n">
        <f aca="false">YEAR(A58)</f>
        <v>2025</v>
      </c>
      <c r="C58" s="6" t="s">
        <v>17</v>
      </c>
      <c r="D58" s="7" t="n">
        <v>313400</v>
      </c>
      <c r="E58" s="9" t="n">
        <f aca="false">D58/D57-1</f>
        <v>0.0168721609344582</v>
      </c>
      <c r="F58" s="8" t="n">
        <f aca="false">D58/$D$5-1</f>
        <v>14.2231991062321</v>
      </c>
      <c r="G58" s="6" t="s">
        <v>36</v>
      </c>
    </row>
    <row r="59" customFormat="false" ht="15" hidden="false" customHeight="false" outlineLevel="0" collapsed="false">
      <c r="A59" s="4" t="n">
        <v>45839</v>
      </c>
      <c r="B59" s="5" t="n">
        <f aca="false">YEAR(A59)</f>
        <v>2025</v>
      </c>
      <c r="C59" s="6" t="s">
        <v>18</v>
      </c>
      <c r="D59" s="7" t="n">
        <v>317800</v>
      </c>
      <c r="E59" s="9" t="n">
        <f aca="false">D59/D58-1</f>
        <v>0.0140395660497767</v>
      </c>
      <c r="F59" s="8" t="n">
        <f aca="false">D59/$D$5-1</f>
        <v>14.4369262155729</v>
      </c>
      <c r="G59" s="6" t="s">
        <v>36</v>
      </c>
    </row>
    <row r="60" customFormat="false" ht="15" hidden="false" customHeight="false" outlineLevel="0" collapsed="false">
      <c r="A60" s="4" t="n">
        <v>45870</v>
      </c>
      <c r="B60" s="5" t="n">
        <f aca="false">YEAR(A60)</f>
        <v>2025</v>
      </c>
      <c r="C60" s="6" t="s">
        <v>20</v>
      </c>
      <c r="D60" s="7" t="n">
        <v>322000</v>
      </c>
      <c r="E60" s="9" t="n">
        <f aca="false">D60/D59-1</f>
        <v>0.0132158590308371</v>
      </c>
      <c r="F60" s="8" t="n">
        <f aca="false">D60/$D$5-1</f>
        <v>14.6409384563074</v>
      </c>
      <c r="G60" s="6" t="s">
        <v>36</v>
      </c>
    </row>
    <row r="61" customFormat="false" ht="15" hidden="false" customHeight="false" outlineLevel="0" collapsed="false">
      <c r="A61" s="4" t="n">
        <v>45901</v>
      </c>
      <c r="B61" s="5" t="n">
        <f aca="false">YEAR(A61)</f>
        <v>2025</v>
      </c>
      <c r="C61" s="6" t="s">
        <v>21</v>
      </c>
      <c r="D61" s="7" t="n">
        <v>322000</v>
      </c>
      <c r="E61" s="9" t="n">
        <f aca="false">D61/D60-1</f>
        <v>0</v>
      </c>
      <c r="F61" s="8" t="n">
        <f aca="false">D61/$D$5-1</f>
        <v>14.6409384563074</v>
      </c>
      <c r="G61" s="6" t="s">
        <v>36</v>
      </c>
    </row>
    <row r="62" customFormat="false" ht="15" hidden="false" customHeight="false" outlineLevel="0" collapsed="false">
      <c r="A62" s="4" t="n">
        <v>45931</v>
      </c>
      <c r="B62" s="5" t="n">
        <f aca="false">YEAR(A62)</f>
        <v>2025</v>
      </c>
      <c r="C62" s="6" t="s">
        <v>23</v>
      </c>
      <c r="D62" s="7" t="n">
        <v>322000</v>
      </c>
      <c r="E62" s="9" t="n">
        <f aca="false">D62/D61-1</f>
        <v>0</v>
      </c>
      <c r="F62" s="8" t="n">
        <f aca="false">D62/$D$5-1</f>
        <v>14.6409384563074</v>
      </c>
      <c r="G62" s="6" t="s">
        <v>36</v>
      </c>
    </row>
    <row r="63" customFormat="false" ht="15" hidden="false" customHeight="false" outlineLevel="0" collapsed="false">
      <c r="A63" s="4" t="n">
        <v>45962</v>
      </c>
      <c r="B63" s="5" t="n">
        <f aca="false">YEAR(A63)</f>
        <v>2025</v>
      </c>
      <c r="C63" s="6" t="s">
        <v>24</v>
      </c>
      <c r="D63" s="7" t="n">
        <v>328400</v>
      </c>
      <c r="E63" s="9" t="n">
        <f aca="false">D63/D62-1</f>
        <v>0.0198757763975155</v>
      </c>
      <c r="F63" s="8" t="n">
        <f aca="false">D63/$D$5-1</f>
        <v>14.9518142517122</v>
      </c>
      <c r="G63" s="6" t="s">
        <v>37</v>
      </c>
    </row>
    <row r="64" customFormat="false" ht="15" hidden="false" customHeight="false" outlineLevel="0" collapsed="false">
      <c r="A64" s="4" t="n">
        <v>45992</v>
      </c>
      <c r="B64" s="5" t="n">
        <f aca="false">YEAR(A64)</f>
        <v>2025</v>
      </c>
      <c r="C64" s="6" t="s">
        <v>25</v>
      </c>
      <c r="D64" s="7" t="n">
        <v>334800</v>
      </c>
      <c r="E64" s="9" t="n">
        <f aca="false">D64/D63-1</f>
        <v>0.0194884287454324</v>
      </c>
      <c r="F64" s="8" t="n">
        <f aca="false">D64/$D$5-1</f>
        <v>15.2626900471171</v>
      </c>
      <c r="G64" s="6" t="s">
        <v>37</v>
      </c>
    </row>
    <row r="65" customFormat="false" ht="15" hidden="false" customHeight="false" outlineLevel="0" collapsed="false">
      <c r="A65" s="4" t="n">
        <v>46023</v>
      </c>
      <c r="B65" s="5" t="n">
        <f aca="false">YEAR(A65)</f>
        <v>2026</v>
      </c>
      <c r="C65" s="6" t="s">
        <v>9</v>
      </c>
      <c r="D65" s="7" t="n">
        <v>341000</v>
      </c>
      <c r="E65" s="9" t="n">
        <f aca="false">D65/D64-1</f>
        <v>0.0185185185185186</v>
      </c>
      <c r="F65" s="8" t="n">
        <f aca="false">D65/$D$5-1</f>
        <v>15.5638509739156</v>
      </c>
      <c r="G65" s="6" t="s">
        <v>37</v>
      </c>
    </row>
    <row r="66" customFormat="false" ht="15" hidden="false" customHeight="false" outlineLevel="0" collapsed="false">
      <c r="A66" s="4" t="n">
        <v>46054</v>
      </c>
      <c r="B66" s="5" t="n">
        <f aca="false">YEAR(A66)</f>
        <v>2026</v>
      </c>
      <c r="C66" s="6" t="s">
        <v>12</v>
      </c>
      <c r="D66" s="7" t="n">
        <v>346800</v>
      </c>
      <c r="E66" s="9" t="n">
        <f aca="false">D66/D65-1</f>
        <v>0.017008797653959</v>
      </c>
      <c r="F66" s="8" t="n">
        <f aca="false">D66/$D$5-1</f>
        <v>15.8455821635012</v>
      </c>
      <c r="G66" s="6" t="s">
        <v>37</v>
      </c>
    </row>
    <row r="67" customFormat="false" ht="15" hidden="false" customHeight="false" outlineLevel="0" collapsed="false">
      <c r="A67" s="4" t="n">
        <v>46082</v>
      </c>
      <c r="B67" s="5" t="n">
        <f aca="false">YEAR(A67)</f>
        <v>2026</v>
      </c>
      <c r="C67" s="6" t="s">
        <v>13</v>
      </c>
      <c r="D67" s="7" t="n">
        <v>352400</v>
      </c>
      <c r="E67" s="9" t="n">
        <f aca="false">D67/D66-1</f>
        <v>0.0161476355247983</v>
      </c>
      <c r="F67" s="8" t="n">
        <f aca="false">D67/$D$5-1</f>
        <v>16.1175984844805</v>
      </c>
      <c r="G67" s="6" t="s">
        <v>37</v>
      </c>
    </row>
    <row r="68" customFormat="false" ht="15" hidden="false" customHeight="false" outlineLevel="0" collapsed="false">
      <c r="A68" s="4" t="n">
        <v>46113</v>
      </c>
      <c r="B68" s="5" t="n">
        <f aca="false">YEAR(A68)</f>
        <v>2026</v>
      </c>
      <c r="C68" s="6" t="s">
        <v>14</v>
      </c>
      <c r="D68" s="7" t="n">
        <v>357800</v>
      </c>
      <c r="E68" s="9" t="n">
        <f aca="false">D68/D67-1</f>
        <v>0.0153234960272417</v>
      </c>
      <c r="F68" s="8" t="n">
        <f aca="false">D68/$D$5-1</f>
        <v>16.3798999368534</v>
      </c>
      <c r="G68" s="6" t="s">
        <v>37</v>
      </c>
    </row>
    <row r="69" customFormat="false" ht="15" hidden="false" customHeight="false" outlineLevel="0" collapsed="false">
      <c r="A69" s="4" t="n">
        <v>46143</v>
      </c>
      <c r="B69" s="5" t="n">
        <f aca="false">YEAR(A69)</f>
        <v>2026</v>
      </c>
      <c r="C69" s="6" t="s">
        <v>16</v>
      </c>
      <c r="D69" s="7" t="n">
        <v>363000</v>
      </c>
      <c r="E69" s="9" t="n">
        <f aca="false">D69/D68-1</f>
        <v>0.014533258803801</v>
      </c>
      <c r="F69" s="8" t="n">
        <f aca="false">D69/$D$5-1</f>
        <v>16.6324865206198</v>
      </c>
      <c r="G69" s="6" t="s">
        <v>37</v>
      </c>
    </row>
    <row r="70" customFormat="false" ht="15" hidden="false" customHeight="false" outlineLevel="0" collapsed="false">
      <c r="A70" s="4" t="n">
        <v>46174</v>
      </c>
      <c r="B70" s="5" t="n">
        <f aca="false">YEAR(A70)</f>
        <v>2026</v>
      </c>
      <c r="C70" s="6" t="s">
        <v>17</v>
      </c>
      <c r="D70" s="7" t="n">
        <v>367800</v>
      </c>
      <c r="E70" s="9" t="n">
        <f aca="false">D70/D69-1</f>
        <v>0.0132231404958678</v>
      </c>
      <c r="F70" s="8" t="n">
        <f aca="false">D70/$D$5-1</f>
        <v>16.8656433671735</v>
      </c>
      <c r="G70" s="6" t="s">
        <v>37</v>
      </c>
    </row>
    <row r="71" customFormat="false" ht="15" hidden="false" customHeight="false" outlineLevel="0" collapsed="false">
      <c r="A71" s="4" t="n">
        <v>46204</v>
      </c>
      <c r="B71" s="5" t="n">
        <f aca="false">YEAR(A71)</f>
        <v>2026</v>
      </c>
      <c r="C71" s="6" t="s">
        <v>18</v>
      </c>
      <c r="D71" s="7" t="n">
        <v>372400</v>
      </c>
      <c r="E71" s="9" t="n">
        <f aca="false">D71/D70-1</f>
        <v>0.0125067971723762</v>
      </c>
      <c r="F71" s="8" t="n">
        <f aca="false">D71/$D$5-1</f>
        <v>17.0890853451207</v>
      </c>
      <c r="G71" s="6" t="s">
        <v>37</v>
      </c>
    </row>
    <row r="72" customFormat="false" ht="15" hidden="false" customHeight="false" outlineLevel="0" collapsed="false">
      <c r="A72" s="4" t="n">
        <v>46235</v>
      </c>
      <c r="B72" s="5" t="n">
        <f aca="false">YEAR(A72)</f>
        <v>2026</v>
      </c>
      <c r="C72" s="6" t="s">
        <v>20</v>
      </c>
      <c r="D72" s="7" t="n">
        <v>376600</v>
      </c>
      <c r="E72" s="9" t="n">
        <f aca="false">D72/D71-1</f>
        <v>0.0112781954887218</v>
      </c>
      <c r="F72" s="8" t="n">
        <f aca="false">D72/$D$5-1</f>
        <v>17.2930975858552</v>
      </c>
      <c r="G72" s="6" t="s">
        <v>37</v>
      </c>
    </row>
    <row r="73" customFormat="false" ht="15" hidden="false" customHeight="false" outlineLevel="0" collapsed="false">
      <c r="A73" s="4" t="n">
        <v>46266</v>
      </c>
      <c r="B73" s="5" t="n">
        <f aca="false">YEAR(A73)</f>
        <v>2026</v>
      </c>
      <c r="C73" s="6" t="s">
        <v>21</v>
      </c>
      <c r="D73" s="7" t="n">
        <v>383800</v>
      </c>
      <c r="E73" s="9" t="n">
        <f aca="false">D73/D72-1</f>
        <v>0.0191184280403611</v>
      </c>
      <c r="F73" s="8" t="n">
        <f aca="false">D73/$D$5-1</f>
        <v>17.6428328556856</v>
      </c>
      <c r="G73" s="6" t="s">
        <v>38</v>
      </c>
    </row>
    <row r="75" customFormat="false" ht="15" hidden="false" customHeight="false" outlineLevel="0" collapsed="false">
      <c r="A75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40</v>
      </c>
    </row>
    <row r="3" customFormat="false" ht="31.5" hidden="false" customHeight="true" outlineLevel="0" collapsed="false">
      <c r="A3" s="3" t="s">
        <v>3</v>
      </c>
      <c r="B3" s="3" t="s">
        <v>41</v>
      </c>
      <c r="C3" s="3" t="s">
        <v>42</v>
      </c>
      <c r="D3" s="3" t="s">
        <v>43</v>
      </c>
      <c r="E3" s="3" t="s">
        <v>44</v>
      </c>
    </row>
    <row r="4" customFormat="false" ht="15" hidden="false" customHeight="false" outlineLevel="0" collapsed="false">
      <c r="A4" s="6" t="n">
        <v>2021</v>
      </c>
      <c r="B4" s="10" t="n">
        <f aca="false">INDEX(SMVM_Mensual!$D$5:$D$73,MATCH(DATE(2021,12,1),SMVM_Mensual!$A$5:$A$73,0))</f>
        <v>32000</v>
      </c>
      <c r="C4" s="10" t="n">
        <f aca="false">AVERAGEIFS(SMVM_Mensual!$D$5:$D$73,SMVM_Mensual!$B$5:$B$73,A4)</f>
        <v>26533.1666666667</v>
      </c>
      <c r="D4" s="8" t="s">
        <v>10</v>
      </c>
      <c r="E4" s="6" t="n">
        <f aca="false">COUNTIFS(SMVM_Mensual!$B$5:$B$73,A4)</f>
        <v>12</v>
      </c>
    </row>
    <row r="5" customFormat="false" ht="15" hidden="false" customHeight="false" outlineLevel="0" collapsed="false">
      <c r="A5" s="6" t="n">
        <v>2022</v>
      </c>
      <c r="B5" s="10" t="n">
        <f aca="false">INDEX(SMVM_Mensual!$D$5:$D$73,MATCH(DATE(2022,12,1),SMVM_Mensual!$A$5:$A$73,0))</f>
        <v>61953</v>
      </c>
      <c r="C5" s="10" t="n">
        <f aca="false">AVERAGEIFS(SMVM_Mensual!$D$5:$D$73,SMVM_Mensual!$B$5:$B$73,A5)</f>
        <v>44291.9166666667</v>
      </c>
      <c r="D5" s="8" t="n">
        <f aca="false">B5/B4-1</f>
        <v>0.93603125</v>
      </c>
      <c r="E5" s="6" t="n">
        <f aca="false">COUNTIFS(SMVM_Mensual!$B$5:$B$73,A5)</f>
        <v>12</v>
      </c>
    </row>
    <row r="6" customFormat="false" ht="15" hidden="false" customHeight="false" outlineLevel="0" collapsed="false">
      <c r="A6" s="6" t="n">
        <v>2023</v>
      </c>
      <c r="B6" s="10" t="n">
        <f aca="false">INDEX(SMVM_Mensual!$D$5:$D$73,MATCH(DATE(2023,12,1),SMVM_Mensual!$A$5:$A$73,0))</f>
        <v>156000</v>
      </c>
      <c r="C6" s="10" t="n">
        <f aca="false">AVERAGEIFS(SMVM_Mensual!$D$5:$D$73,SMVM_Mensual!$B$5:$B$73,A6)</f>
        <v>102125.916666667</v>
      </c>
      <c r="D6" s="8" t="n">
        <f aca="false">B6/B5-1</f>
        <v>1.51803786741562</v>
      </c>
      <c r="E6" s="6" t="n">
        <f aca="false">COUNTIFS(SMVM_Mensual!$B$5:$B$73,A6)</f>
        <v>12</v>
      </c>
    </row>
    <row r="7" customFormat="false" ht="15" hidden="false" customHeight="false" outlineLevel="0" collapsed="false">
      <c r="A7" s="6" t="n">
        <v>2024</v>
      </c>
      <c r="B7" s="10" t="n">
        <f aca="false">INDEX(SMVM_Mensual!$D$5:$D$73,MATCH(DATE(2024,12,1),SMVM_Mensual!$A$5:$A$73,0))</f>
        <v>279718</v>
      </c>
      <c r="C7" s="10" t="n">
        <f aca="false">AVERAGEIFS(SMVM_Mensual!$D$5:$D$73,SMVM_Mensual!$B$5:$B$73,A7)</f>
        <v>236338.648333333</v>
      </c>
      <c r="D7" s="8" t="n">
        <f aca="false">B7/B6-1</f>
        <v>0.793064102564103</v>
      </c>
      <c r="E7" s="6" t="n">
        <f aca="false">COUNTIFS(SMVM_Mensual!$B$5:$B$73,A7)</f>
        <v>12</v>
      </c>
    </row>
    <row r="8" customFormat="false" ht="15" hidden="false" customHeight="false" outlineLevel="0" collapsed="false">
      <c r="A8" s="6" t="n">
        <v>2025</v>
      </c>
      <c r="B8" s="10" t="n">
        <f aca="false">INDEX(SMVM_Mensual!$D$5:$D$73,MATCH(DATE(2025,12,1),SMVM_Mensual!$A$5:$A$73,0))</f>
        <v>334800</v>
      </c>
      <c r="C8" s="10" t="n">
        <f aca="false">AVERAGEIFS(SMVM_Mensual!$D$5:$D$73,SMVM_Mensual!$B$5:$B$73,A8)</f>
        <v>312265.75</v>
      </c>
      <c r="D8" s="8" t="n">
        <f aca="false">B8/B7-1</f>
        <v>0.196919754896002</v>
      </c>
      <c r="E8" s="6" t="n">
        <f aca="false">COUNTIFS(SMVM_Mensual!$B$5:$B$73,A8)</f>
        <v>12</v>
      </c>
    </row>
    <row r="9" customFormat="false" ht="15" hidden="false" customHeight="false" outlineLevel="0" collapsed="false">
      <c r="A9" s="6" t="n">
        <v>2026</v>
      </c>
      <c r="B9" s="10" t="n">
        <f aca="false">INDEX(SMVM_Mensual!$D$5:$D$73,MATCH(DATE(2026,9,1),SMVM_Mensual!$A$5:$A$73,0))</f>
        <v>383800</v>
      </c>
      <c r="C9" s="10" t="n">
        <f aca="false">AVERAGEIFS(SMVM_Mensual!$D$5:$D$73,SMVM_Mensual!$B$5:$B$73,A9)</f>
        <v>362400</v>
      </c>
      <c r="D9" s="8" t="n">
        <f aca="false">B9/B8-1</f>
        <v>0.146356033452808</v>
      </c>
      <c r="E9" s="6" t="n">
        <f aca="false">COUNTIFS(SMVM_Mensual!$B$5:$B$73,A9)</f>
        <v>9</v>
      </c>
    </row>
    <row r="11" customFormat="false" ht="15" hidden="false" customHeight="false" outlineLevel="0" collapsed="false">
      <c r="A11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46</v>
      </c>
    </row>
    <row r="3" customFormat="false" ht="15" hidden="false" customHeight="false" outlineLevel="0" collapsed="false">
      <c r="A3" s="11" t="s">
        <v>47</v>
      </c>
    </row>
    <row r="4" customFormat="false" ht="23.85" hidden="false" customHeight="false" outlineLevel="0" collapsed="false">
      <c r="A4" s="12" t="s">
        <v>48</v>
      </c>
    </row>
    <row r="5" customFormat="false" ht="23.85" hidden="false" customHeight="false" outlineLevel="0" collapsed="false">
      <c r="A5" s="12" t="s">
        <v>49</v>
      </c>
    </row>
    <row r="6" customFormat="false" ht="15" hidden="false" customHeight="false" outlineLevel="0" collapsed="false">
      <c r="A6" s="12" t="s">
        <v>50</v>
      </c>
    </row>
    <row r="7" customFormat="false" ht="35.05" hidden="false" customHeight="false" outlineLevel="0" collapsed="false">
      <c r="A7" s="12" t="s">
        <v>51</v>
      </c>
    </row>
    <row r="8" customFormat="false" ht="23.85" hidden="false" customHeight="false" outlineLevel="0" collapsed="false">
      <c r="A8" s="12" t="s">
        <v>52</v>
      </c>
    </row>
    <row r="9" customFormat="false" ht="15" hidden="false" customHeight="false" outlineLevel="0" collapsed="false">
      <c r="A9" s="12"/>
    </row>
    <row r="10" customFormat="false" ht="15" hidden="false" customHeight="false" outlineLevel="0" collapsed="false">
      <c r="A10" s="11" t="s">
        <v>53</v>
      </c>
    </row>
    <row r="11" customFormat="false" ht="23.85" hidden="false" customHeight="false" outlineLevel="0" collapsed="false">
      <c r="A11" s="12" t="s">
        <v>54</v>
      </c>
    </row>
    <row r="12" customFormat="false" ht="23.85" hidden="false" customHeight="false" outlineLevel="0" collapsed="false">
      <c r="A12" s="12" t="s">
        <v>55</v>
      </c>
    </row>
    <row r="13" customFormat="false" ht="15" hidden="false" customHeight="false" outlineLevel="0" collapsed="false">
      <c r="A13" s="12" t="s">
        <v>56</v>
      </c>
    </row>
    <row r="14" customFormat="false" ht="15" hidden="false" customHeight="false" outlineLevel="0" collapsed="false">
      <c r="A14" s="1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2026-09-28T02:00:51Z</dcterms:created>
  <dc:creator>openpyxl</dc:creator>
  <dc:description/>
  <dc:language>en-US</dc:language>
  <cp:lastModifiedBy/>
  <dcterms:modified xsi:type="dcterms:W3CDTF">2026-09-28T02:00:51Z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